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en_movsesyan.CUSTOMS\Desktop\girq\"/>
    </mc:Choice>
  </mc:AlternateContent>
  <bookViews>
    <workbookView xWindow="6420" yWindow="105" windowWidth="6480" windowHeight="3810"/>
  </bookViews>
  <sheets>
    <sheet name="gr5" sheetId="22" r:id="rId1"/>
  </sheets>
  <definedNames>
    <definedName name="_xlnm._FilterDatabase" localSheetId="0" hidden="1">'gr5'!#REF!</definedName>
  </definedNames>
  <calcPr calcId="152511"/>
</workbook>
</file>

<file path=xl/calcChain.xml><?xml version="1.0" encoding="utf-8"?>
<calcChain xmlns="http://schemas.openxmlformats.org/spreadsheetml/2006/main">
  <c r="K10" i="22" l="1"/>
  <c r="K9" i="22"/>
  <c r="J10" i="22"/>
  <c r="J9" i="22"/>
  <c r="H11" i="22"/>
  <c r="F11" i="22"/>
  <c r="D11" i="22"/>
  <c r="B11" i="22"/>
  <c r="J11" i="22"/>
</calcChain>
</file>

<file path=xl/sharedStrings.xml><?xml version="1.0" encoding="utf-8"?>
<sst xmlns="http://schemas.openxmlformats.org/spreadsheetml/2006/main" count="22" uniqueCount="14">
  <si>
    <t>* -</t>
  </si>
  <si>
    <t>Ընդամենը</t>
  </si>
  <si>
    <t>ըստ տրանսպորտի տեսակների</t>
  </si>
  <si>
    <t>Տ/Տ*</t>
  </si>
  <si>
    <t>Արտ.</t>
  </si>
  <si>
    <t>Ներ.</t>
  </si>
  <si>
    <t>20 - երկաթուղային</t>
  </si>
  <si>
    <t>40 - օդային</t>
  </si>
  <si>
    <t>70 - ստացիոնար (խողով., էլ. գիծ)</t>
  </si>
  <si>
    <t>30 - ավտոմոբիլային</t>
  </si>
  <si>
    <t>(հազ.տոննա)</t>
  </si>
  <si>
    <t>ՀՀ արտաքին և փոխադարձ առեւտուրն`</t>
  </si>
  <si>
    <t>2018թ.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</si>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</sst>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Armenian"/>
    </font>
    <font>
      <b/>
      <sz val="10"/>
      <name val="Arial Armenian"/>
    </font>
    <font>
      <sz val="8"/>
      <name val="Arial Armenian"/>
    </font>
    <font>
      <u/>
      <sz val="8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sz val="5"/>
      <name val="GHEA Grapalat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7" fillId="0" borderId="1" xfId="0" quotePrefix="1" applyFont="1" applyBorder="1" applyAlignment="1">
      <alignment horizontal="center"/>
    </xf>
    <xf numFmtId="0" fontId="7" fillId="0" borderId="4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/>
    <xf numFmtId="3" fontId="5" fillId="0" borderId="3" xfId="0" applyNumberFormat="1" applyFont="1" applyBorder="1"/>
    <xf numFmtId="0" fontId="7" fillId="0" borderId="0" xfId="0" applyFont="1" applyBorder="1"/>
    <xf numFmtId="3" fontId="5" fillId="0" borderId="0" xfId="0" applyNumberFormat="1" applyFont="1" applyBorder="1"/>
    <xf numFmtId="0" fontId="4" fillId="0" borderId="0" xfId="0" quotePrefix="1" applyFont="1" applyAlignment="1">
      <alignment horizontal="right"/>
    </xf>
    <xf numFmtId="164" fontId="0" fillId="0" borderId="3" xfId="0" applyNumberFormat="1" applyBorder="1"/>
    <xf numFmtId="164" fontId="5" fillId="0" borderId="3" xfId="0" applyNumberFormat="1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GHEA Grapalat"/>
              </a:rPr>
              <a:t>2019թ.</a:t>
            </a:r>
          </a:p>
        </c:rich>
      </c:tx>
      <c:layout>
        <c:manualLayout>
          <c:xMode val="edge"/>
          <c:yMode val="edge"/>
          <c:x val="0.4425433006693234"/>
          <c:y val="4.032258064516128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447448816961169"/>
          <c:y val="0.12903225806451613"/>
          <c:w val="0.80440193832367712"/>
          <c:h val="0.733870967741935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'gr5'!$B$6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'gr5'!$B$7:$C$7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'gr5'!$B$10:$C$10</c:f>
              <c:numCache>
                <c:formatCode>0.0</c:formatCode>
                <c:ptCount val="2"/>
                <c:pt idx="0">
                  <c:v>540.53570000000002</c:v>
                </c:pt>
                <c:pt idx="1">
                  <c:v>612.45420000000001</c:v>
                </c:pt>
              </c:numCache>
            </c:numRef>
          </c:val>
        </c:ser>
        <c:ser>
          <c:idx val="1"/>
          <c:order val="1"/>
          <c:tx>
            <c:strRef>
              <c:f>'gr5'!$D$6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'gr5'!$B$7:$C$7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'gr5'!$D$10:$E$10</c:f>
              <c:numCache>
                <c:formatCode>0.0</c:formatCode>
                <c:ptCount val="2"/>
                <c:pt idx="0">
                  <c:v>696.20600000000002</c:v>
                </c:pt>
                <c:pt idx="1">
                  <c:v>2925.3739</c:v>
                </c:pt>
              </c:numCache>
            </c:numRef>
          </c:val>
        </c:ser>
        <c:ser>
          <c:idx val="2"/>
          <c:order val="2"/>
          <c:tx>
            <c:strRef>
              <c:f>'gr5'!$F$6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'gr5'!$B$7:$C$7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'gr5'!$F$10:$G$10</c:f>
              <c:numCache>
                <c:formatCode>0.0</c:formatCode>
                <c:ptCount val="2"/>
                <c:pt idx="0">
                  <c:v>8.7667000000000002</c:v>
                </c:pt>
                <c:pt idx="1">
                  <c:v>14.6478</c:v>
                </c:pt>
              </c:numCache>
            </c:numRef>
          </c:val>
        </c:ser>
        <c:ser>
          <c:idx val="4"/>
          <c:order val="3"/>
          <c:tx>
            <c:strRef>
              <c:f>'gr5'!$H$6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'gr5'!$B$7:$C$7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'gr5'!$H$10:$I$10</c:f>
              <c:numCache>
                <c:formatCode>0.0</c:formatCode>
                <c:ptCount val="2"/>
                <c:pt idx="0">
                  <c:v>5.4</c:v>
                </c:pt>
                <c:pt idx="1">
                  <c:v>1824.6557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04952872"/>
        <c:axId val="380508464"/>
        <c:axId val="0"/>
      </c:bar3DChart>
      <c:catAx>
        <c:axId val="204952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3805084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80508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հազ.տոննա</a:t>
                </a:r>
              </a:p>
            </c:rich>
          </c:tx>
          <c:layout>
            <c:manualLayout>
              <c:xMode val="edge"/>
              <c:yMode val="edge"/>
              <c:x val="1.6487303390254702E-3"/>
              <c:y val="0.37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2049528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709149131419697"/>
          <c:y val="0.43951612903225806"/>
          <c:w val="7.5794621026894826E-2"/>
          <c:h val="0.262096774193548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37560975609756098"/>
          <c:y val="3.773584905660377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9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658536585365855"/>
          <c:y val="0.10943416390434092"/>
          <c:w val="0.83170731707317069"/>
          <c:h val="0.76981273918915682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'gr5'!$A$9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('gr5'!$B$9,'gr5'!$D$9,'gr5'!$F$9,'gr5'!$H$9)</c:f>
              <c:numCache>
                <c:formatCode>0.0</c:formatCode>
                <c:ptCount val="4"/>
                <c:pt idx="0">
                  <c:v>437.53039999999999</c:v>
                </c:pt>
                <c:pt idx="1">
                  <c:v>591.70119999999997</c:v>
                </c:pt>
                <c:pt idx="2">
                  <c:v>5.0609999999999999</c:v>
                </c:pt>
                <c:pt idx="3">
                  <c:v>10.821199999999999</c:v>
                </c:pt>
              </c:numCache>
            </c:numRef>
          </c:val>
        </c:ser>
        <c:ser>
          <c:idx val="0"/>
          <c:order val="1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('gr5'!$B$10,'gr5'!$D$10,'gr5'!$F$10,'gr5'!$H$10)</c:f>
              <c:numCache>
                <c:formatCode>0.0</c:formatCode>
                <c:ptCount val="4"/>
                <c:pt idx="0">
                  <c:v>540.53570000000002</c:v>
                </c:pt>
                <c:pt idx="1">
                  <c:v>696.20600000000002</c:v>
                </c:pt>
                <c:pt idx="2">
                  <c:v>8.7667000000000002</c:v>
                </c:pt>
                <c:pt idx="3">
                  <c:v>5.4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380509248"/>
        <c:axId val="380509640"/>
        <c:axId val="0"/>
      </c:bar3DChart>
      <c:catAx>
        <c:axId val="38050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3805096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80509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հազ.տոննա</a:t>
                </a:r>
              </a:p>
            </c:rich>
          </c:tx>
          <c:layout>
            <c:manualLayout>
              <c:xMode val="edge"/>
              <c:yMode val="edge"/>
              <c:x val="1.9512195121951219E-2"/>
              <c:y val="0.373585698014163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380509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097560975609755"/>
          <c:y val="0.50566116971227648"/>
          <c:w val="0.12682926829268293"/>
          <c:h val="0.124528698063685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GHEA Grapalat"/>
              </a:rPr>
              <a:t>2019թ.</a:t>
            </a:r>
          </a:p>
        </c:rich>
      </c:tx>
      <c:layout>
        <c:manualLayout>
          <c:xMode val="edge"/>
          <c:yMode val="edge"/>
          <c:x val="0.40000174252077408"/>
          <c:y val="3.9215710684385792E-2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2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7980636237897647E-2"/>
          <c:y val="2.1846986229256732E-4"/>
          <c:w val="0.9820193637621023"/>
          <c:h val="0.9954209557132182"/>
        </c:manualLayout>
      </c:layout>
      <c:pie3DChart>
        <c:varyColors val="1"/>
        <c:ser>
          <c:idx val="0"/>
          <c:order val="0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explosion val="17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3.8727524204702629E-2"/>
                  <c:y val="0.1120498312950515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28215767634854771"/>
                  <c:y val="1.274477552431716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702627939142473E-2"/>
                  <c:y val="-0.27856251872223697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1.6597510373444084E-2"/>
                  <c:y val="9.070700628647028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('gr5'!$C$10,'gr5'!$E$10,'gr5'!$G$10,'gr5'!$I$10)</c:f>
              <c:numCache>
                <c:formatCode>0.0</c:formatCode>
                <c:ptCount val="4"/>
                <c:pt idx="0">
                  <c:v>612.45420000000001</c:v>
                </c:pt>
                <c:pt idx="1">
                  <c:v>2925.3739</c:v>
                </c:pt>
                <c:pt idx="2">
                  <c:v>14.6478</c:v>
                </c:pt>
                <c:pt idx="3">
                  <c:v>1824.6557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000" b="1"/>
          </a:pPr>
          <a:endParaRPr lang="en-US"/>
        </a:p>
      </c:txPr>
    </c:title>
    <c:autoTitleDeleted val="0"/>
    <c:view3D>
      <c:rotX val="40"/>
      <c:rotY val="61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11991167294916114"/>
          <c:w val="1"/>
          <c:h val="0.84469505389872224"/>
        </c:manualLayout>
      </c:layout>
      <c:pie3DChart>
        <c:varyColors val="1"/>
        <c:ser>
          <c:idx val="0"/>
          <c:order val="0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explosion val="6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7.803787282159072E-2"/>
                  <c:y val="0.2584234289965951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7842298635042185E-2"/>
                  <c:y val="8.723331757451381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5284881831875675E-2"/>
                  <c:y val="-8.238723788018960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93218066673887"/>
                  <c:y val="-1.6447295943703699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('gr5'!$B$11,'gr5'!$D$11,'gr5'!$F$11,'gr5'!$H$11)</c:f>
              <c:numCache>
                <c:formatCode>#,##0</c:formatCode>
                <c:ptCount val="4"/>
                <c:pt idx="0">
                  <c:v>1152.9899</c:v>
                </c:pt>
                <c:pt idx="1">
                  <c:v>3621.5799000000002</c:v>
                </c:pt>
                <c:pt idx="2">
                  <c:v>23.4145</c:v>
                </c:pt>
                <c:pt idx="3">
                  <c:v>1830.0557000000001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25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1" l="0.24" r="0.16" t="0.35" header="0.2" footer="0.2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66841644794403"/>
          <c:y val="3.731343283582089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25" b="1" i="0" u="none" strike="noStrike" baseline="0">
              <a:solidFill>
                <a:srgbClr val="000000"/>
              </a:solidFill>
              <a:latin typeface="GHEA Grapalat"/>
              <a:ea typeface="GHEA Grapalat"/>
              <a:cs typeface="GHEA Grapalat"/>
            </a:defRPr>
          </a:pPr>
          <a:endParaRPr lang="en-US"/>
        </a:p>
      </c:txPr>
    </c:title>
    <c:autoTitleDeleted val="0"/>
    <c:view3D>
      <c:rotX val="40"/>
      <c:rotY val="19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0833418104728618E-2"/>
          <c:y val="0"/>
          <c:w val="0.97916666666666663"/>
          <c:h val="1"/>
        </c:manualLayout>
      </c:layout>
      <c:pie3DChart>
        <c:varyColors val="1"/>
        <c:ser>
          <c:idx val="0"/>
          <c:order val="0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11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explosion val="2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0.10023622047244095"/>
                  <c:y val="-0.3874289454372359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5915266841644796"/>
                  <c:y val="-0.284811678137210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22610065992034808"/>
                  <c:y val="0.1594311735515666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20420253718285214"/>
                  <c:y val="7.6139153890398464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('gr5'!$B$10,'gr5'!$D$10,'gr5'!$F$10,'gr5'!$H$10)</c:f>
              <c:numCache>
                <c:formatCode>0.0</c:formatCode>
                <c:ptCount val="4"/>
                <c:pt idx="0">
                  <c:v>540.53570000000002</c:v>
                </c:pt>
                <c:pt idx="1">
                  <c:v>696.20600000000002</c:v>
                </c:pt>
                <c:pt idx="2">
                  <c:v>8.7667000000000002</c:v>
                </c:pt>
                <c:pt idx="3">
                  <c:v>5.4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25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1" l="0.24" r="0.16" t="0.28999999999999998" header="0.2" footer="0.2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3759213759213759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267813267813267"/>
          <c:y val="0.10196117479003826"/>
          <c:w val="0.83292383292383287"/>
          <c:h val="0.76470881092528697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'gr5'!$A$9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('gr5'!$C$9,'gr5'!$E$9,'gr5'!$G$9,'gr5'!$I$9)</c:f>
              <c:numCache>
                <c:formatCode>0.0</c:formatCode>
                <c:ptCount val="4"/>
                <c:pt idx="0">
                  <c:v>714.12850000000003</c:v>
                </c:pt>
                <c:pt idx="1">
                  <c:v>2428.1147999999998</c:v>
                </c:pt>
                <c:pt idx="2">
                  <c:v>14.429600000000001</c:v>
                </c:pt>
                <c:pt idx="3">
                  <c:v>1802.7494999999999</c:v>
                </c:pt>
              </c:numCache>
            </c:numRef>
          </c:val>
        </c:ser>
        <c:ser>
          <c:idx val="0"/>
          <c:order val="1"/>
          <c:tx>
            <c:strRef>
              <c:f>'gr5'!$A$10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('gr5'!$B$6,'gr5'!$D$6,'gr5'!$F$6,'gr5'!$H$6)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('gr5'!$C$10,'gr5'!$E$10,'gr5'!$G$10,'gr5'!$I$10)</c:f>
              <c:numCache>
                <c:formatCode>0.0</c:formatCode>
                <c:ptCount val="4"/>
                <c:pt idx="0">
                  <c:v>612.45420000000001</c:v>
                </c:pt>
                <c:pt idx="1">
                  <c:v>2925.3739</c:v>
                </c:pt>
                <c:pt idx="2">
                  <c:v>14.6478</c:v>
                </c:pt>
                <c:pt idx="3">
                  <c:v>1824.6557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380511600"/>
        <c:axId val="380511992"/>
        <c:axId val="0"/>
      </c:bar3DChart>
      <c:catAx>
        <c:axId val="38051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3805119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80511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հազ.տոննա</a:t>
                </a:r>
              </a:p>
            </c:rich>
          </c:tx>
          <c:layout>
            <c:manualLayout>
              <c:xMode val="edge"/>
              <c:yMode val="edge"/>
              <c:x val="2.4729955438616857E-3"/>
              <c:y val="0.3764722350882610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3805116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995085995085996"/>
          <c:y val="0.50980598013483602"/>
          <c:w val="0.12776412776412782"/>
          <c:h val="0.129412176419124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" l="0.24" r="0.16" t="0.39" header="0.2" footer="0.2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95250</xdr:rowOff>
    </xdr:from>
    <xdr:to>
      <xdr:col>7</xdr:col>
      <xdr:colOff>0</xdr:colOff>
      <xdr:row>25</xdr:row>
      <xdr:rowOff>57150</xdr:rowOff>
    </xdr:to>
    <xdr:graphicFrame macro="">
      <xdr:nvGraphicFramePr>
        <xdr:cNvPr id="2574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25</xdr:row>
      <xdr:rowOff>95250</xdr:rowOff>
    </xdr:from>
    <xdr:to>
      <xdr:col>7</xdr:col>
      <xdr:colOff>0</xdr:colOff>
      <xdr:row>40</xdr:row>
      <xdr:rowOff>47625</xdr:rowOff>
    </xdr:to>
    <xdr:graphicFrame macro="">
      <xdr:nvGraphicFramePr>
        <xdr:cNvPr id="2574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40</xdr:row>
      <xdr:rowOff>104775</xdr:rowOff>
    </xdr:from>
    <xdr:to>
      <xdr:col>11</xdr:col>
      <xdr:colOff>38100</xdr:colOff>
      <xdr:row>54</xdr:row>
      <xdr:rowOff>114300</xdr:rowOff>
    </xdr:to>
    <xdr:graphicFrame macro="">
      <xdr:nvGraphicFramePr>
        <xdr:cNvPr id="25748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</xdr:colOff>
      <xdr:row>11</xdr:row>
      <xdr:rowOff>95250</xdr:rowOff>
    </xdr:from>
    <xdr:to>
      <xdr:col>11</xdr:col>
      <xdr:colOff>9525</xdr:colOff>
      <xdr:row>25</xdr:row>
      <xdr:rowOff>85725</xdr:rowOff>
    </xdr:to>
    <xdr:graphicFrame macro="">
      <xdr:nvGraphicFramePr>
        <xdr:cNvPr id="25749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</xdr:colOff>
      <xdr:row>25</xdr:row>
      <xdr:rowOff>85725</xdr:rowOff>
    </xdr:from>
    <xdr:to>
      <xdr:col>11</xdr:col>
      <xdr:colOff>9525</xdr:colOff>
      <xdr:row>40</xdr:row>
      <xdr:rowOff>66675</xdr:rowOff>
    </xdr:to>
    <xdr:graphicFrame macro="">
      <xdr:nvGraphicFramePr>
        <xdr:cNvPr id="25750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40</xdr:row>
      <xdr:rowOff>95250</xdr:rowOff>
    </xdr:from>
    <xdr:to>
      <xdr:col>7</xdr:col>
      <xdr:colOff>0</xdr:colOff>
      <xdr:row>54</xdr:row>
      <xdr:rowOff>123825</xdr:rowOff>
    </xdr:to>
    <xdr:graphicFrame macro="">
      <xdr:nvGraphicFramePr>
        <xdr:cNvPr id="25751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62"/>
  <sheetViews>
    <sheetView tabSelected="1" zoomScale="90" workbookViewId="0">
      <selection activeCell="Q34" sqref="Q34"/>
    </sheetView>
  </sheetViews>
  <sheetFormatPr defaultRowHeight="12.75" x14ac:dyDescent="0.2"/>
  <cols>
    <col min="1" max="1" width="7.5703125" customWidth="1"/>
    <col min="2" max="11" width="8.5703125" customWidth="1"/>
    <col min="12" max="12" width="0.7109375" customWidth="1"/>
    <col min="13" max="13" width="6.28515625" customWidth="1"/>
    <col min="14" max="14" width="5" customWidth="1"/>
    <col min="15" max="15" width="3.85546875" customWidth="1"/>
    <col min="34" max="34" width="0.140625" customWidth="1"/>
  </cols>
  <sheetData>
    <row r="1" spans="1:12" ht="17.25" x14ac:dyDescent="0.3">
      <c r="A1" s="3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7.25" x14ac:dyDescent="0.3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spans="1:12" ht="14.25" x14ac:dyDescent="0.25">
      <c r="A3" s="21" t="s">
        <v>10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5"/>
    </row>
    <row r="4" spans="1:12" ht="17.25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5"/>
    </row>
    <row r="5" spans="1:12" ht="14.2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8" thickTop="1" thickBot="1" x14ac:dyDescent="0.35">
      <c r="A6" s="7" t="s">
        <v>3</v>
      </c>
      <c r="B6" s="8">
        <v>20</v>
      </c>
      <c r="C6" s="9"/>
      <c r="D6" s="8">
        <v>30</v>
      </c>
      <c r="E6" s="9"/>
      <c r="F6" s="8">
        <v>40</v>
      </c>
      <c r="G6" s="9"/>
      <c r="H6" s="10">
        <v>70</v>
      </c>
      <c r="I6" s="10"/>
      <c r="J6" s="8" t="s">
        <v>1</v>
      </c>
      <c r="K6" s="9"/>
      <c r="L6" s="5"/>
    </row>
    <row r="7" spans="1:12" ht="15" thickTop="1" thickBot="1" x14ac:dyDescent="0.3">
      <c r="A7" s="11"/>
      <c r="B7" s="12" t="s">
        <v>4</v>
      </c>
      <c r="C7" s="12" t="s">
        <v>5</v>
      </c>
      <c r="D7" s="12" t="s">
        <v>4</v>
      </c>
      <c r="E7" s="12" t="s">
        <v>5</v>
      </c>
      <c r="F7" s="12" t="s">
        <v>4</v>
      </c>
      <c r="G7" s="12" t="s">
        <v>5</v>
      </c>
      <c r="H7" s="12" t="s">
        <v>4</v>
      </c>
      <c r="I7" s="12" t="s">
        <v>5</v>
      </c>
      <c r="J7" s="12" t="s">
        <v>4</v>
      </c>
      <c r="K7" s="12" t="s">
        <v>5</v>
      </c>
      <c r="L7" s="5"/>
    </row>
    <row r="8" spans="1:12" ht="6" customHeight="1" thickTop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5"/>
    </row>
    <row r="9" spans="1:12" ht="16.5" x14ac:dyDescent="0.3">
      <c r="A9" s="14" t="s">
        <v>12</v>
      </c>
      <c r="B9" s="19">
        <v>437.53039999999999</v>
      </c>
      <c r="C9" s="20">
        <v>714.12850000000003</v>
      </c>
      <c r="D9" s="20">
        <v>591.70119999999997</v>
      </c>
      <c r="E9" s="20">
        <v>2428.1147999999998</v>
      </c>
      <c r="F9" s="20">
        <v>5.0609999999999999</v>
      </c>
      <c r="G9" s="20">
        <v>14.429600000000001</v>
      </c>
      <c r="H9" s="20">
        <v>10.821199999999999</v>
      </c>
      <c r="I9" s="20">
        <v>1802.7494999999999</v>
      </c>
      <c r="J9" s="15">
        <f>B9+D9+F9+H9</f>
        <v>1045.1138000000001</v>
      </c>
      <c r="K9" s="15">
        <f>C9+E9+G9+I9</f>
        <v>4959.4223999999995</v>
      </c>
      <c r="L9" s="5"/>
    </row>
    <row r="10" spans="1:12" ht="16.5" x14ac:dyDescent="0.3">
      <c r="A10" s="14" t="s">
        <v>13</v>
      </c>
      <c r="B10" s="19">
        <v>540.53570000000002</v>
      </c>
      <c r="C10" s="20">
        <v>612.45420000000001</v>
      </c>
      <c r="D10" s="20">
        <v>696.20600000000002</v>
      </c>
      <c r="E10" s="20">
        <v>2925.3739</v>
      </c>
      <c r="F10" s="20">
        <v>8.7667000000000002</v>
      </c>
      <c r="G10" s="20">
        <v>14.6478</v>
      </c>
      <c r="H10" s="20">
        <v>5.4</v>
      </c>
      <c r="I10" s="20">
        <v>1824.6557</v>
      </c>
      <c r="J10" s="15">
        <f>B10+D10+F10+H10</f>
        <v>1250.9084</v>
      </c>
      <c r="K10" s="15">
        <f>C10+E10+G10+I10</f>
        <v>5377.1316000000006</v>
      </c>
      <c r="L10" s="5"/>
    </row>
    <row r="11" spans="1:12" ht="4.5" customHeight="1" x14ac:dyDescent="0.3">
      <c r="A11" s="16"/>
      <c r="B11" s="17">
        <f>B10+C10</f>
        <v>1152.9899</v>
      </c>
      <c r="C11" s="17"/>
      <c r="D11" s="17">
        <f>D10+E10</f>
        <v>3621.5799000000002</v>
      </c>
      <c r="E11" s="17"/>
      <c r="F11" s="17">
        <f>F10+G10</f>
        <v>23.4145</v>
      </c>
      <c r="G11" s="17"/>
      <c r="H11" s="17">
        <f>H10+I10</f>
        <v>1830.0557000000001</v>
      </c>
      <c r="I11" s="17"/>
      <c r="J11" s="17">
        <f>J10+K10</f>
        <v>6628.0400000000009</v>
      </c>
      <c r="K11" s="17"/>
      <c r="L11" s="5"/>
    </row>
    <row r="12" spans="1:12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3.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3.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3.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3.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3.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3.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3.5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3.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3.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3.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3.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3.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3.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3.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3.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3.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3.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3.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3.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3.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3.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3.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3.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3.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3.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3.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3.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3.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3.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3.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3.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3.5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3.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3.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3.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3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3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3.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3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3.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3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3.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3.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7.25" x14ac:dyDescent="0.3">
      <c r="A56" s="18" t="s">
        <v>0</v>
      </c>
      <c r="B56" s="6" t="s">
        <v>6</v>
      </c>
      <c r="C56" s="6"/>
      <c r="D56" s="6"/>
      <c r="E56" s="6"/>
      <c r="F56" s="6" t="s">
        <v>7</v>
      </c>
      <c r="G56" s="6"/>
      <c r="H56" s="6"/>
      <c r="I56" s="5"/>
      <c r="J56" s="5"/>
      <c r="K56" s="5"/>
      <c r="L56" s="5"/>
    </row>
    <row r="57" spans="1:12" ht="14.25" x14ac:dyDescent="0.25">
      <c r="A57" s="5"/>
      <c r="B57" s="6" t="s">
        <v>9</v>
      </c>
      <c r="C57" s="6"/>
      <c r="D57" s="6"/>
      <c r="E57" s="6"/>
      <c r="F57" s="6" t="s">
        <v>8</v>
      </c>
      <c r="G57" s="6"/>
      <c r="H57" s="6"/>
      <c r="I57" s="5"/>
      <c r="J57" s="5"/>
      <c r="K57" s="5"/>
      <c r="L57" s="5"/>
    </row>
    <row r="58" spans="1:12" x14ac:dyDescent="0.2">
      <c r="B58" s="2"/>
      <c r="C58" s="2"/>
      <c r="D58" s="2"/>
      <c r="E58" s="2"/>
      <c r="F58" s="2"/>
      <c r="G58" s="2"/>
      <c r="H58" s="2"/>
    </row>
    <row r="59" spans="1:12" x14ac:dyDescent="0.2">
      <c r="B59" s="2"/>
      <c r="C59" s="2"/>
      <c r="D59" s="2"/>
      <c r="E59" s="2"/>
      <c r="F59" s="2"/>
      <c r="G59" s="2"/>
      <c r="H59" s="2"/>
    </row>
    <row r="60" spans="1:12" x14ac:dyDescent="0.2">
      <c r="B60" s="2"/>
      <c r="C60" s="2"/>
      <c r="D60" s="2"/>
      <c r="E60" s="2"/>
      <c r="F60" s="2"/>
      <c r="G60" s="2"/>
      <c r="H60" s="2"/>
    </row>
    <row r="61" spans="1:12" x14ac:dyDescent="0.2">
      <c r="B61" s="2"/>
      <c r="C61" s="2"/>
      <c r="D61" s="2"/>
      <c r="E61" s="2"/>
      <c r="F61" s="2"/>
      <c r="G61" s="2"/>
      <c r="H61" s="2"/>
    </row>
    <row r="62" spans="1:12" x14ac:dyDescent="0.2">
      <c r="B62" s="2"/>
      <c r="C62" s="2"/>
      <c r="D62" s="2"/>
      <c r="E62" s="2"/>
      <c r="F62" s="2"/>
      <c r="G62" s="2"/>
      <c r="H62" s="2"/>
      <c r="J62" s="1"/>
    </row>
  </sheetData>
  <mergeCells count="2">
    <mergeCell ref="A4:K4"/>
    <mergeCell ref="A3:K3"/>
  </mergeCells>
  <phoneticPr fontId="2" type="noConversion"/>
  <pageMargins left="0.64" right="0.2" top="0.37" bottom="0.46" header="0.16" footer="0.2"/>
  <pageSetup paperSize="9" firstPageNumber="2" orientation="portrait" useFirstPageNumber="1" r:id="rId1"/>
  <headerFooter alignWithMargins="0">
    <oddHeader>&amp;R&amp;8&amp;U¶ñ³ýÇÏ 5</oddHeader>
    <oddFooter>&amp;C6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Armen Movsesyan S.</cp:lastModifiedBy>
  <cp:lastPrinted>2020-03-02T06:23:18Z</cp:lastPrinted>
  <dcterms:created xsi:type="dcterms:W3CDTF">2001-03-30T11:12:39Z</dcterms:created>
  <dcterms:modified xsi:type="dcterms:W3CDTF">2020-03-02T06:23:23Z</dcterms:modified>
</cp:coreProperties>
</file>