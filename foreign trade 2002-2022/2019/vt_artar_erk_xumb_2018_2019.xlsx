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men_movsesyan.CUSTOMS\Desktop\girq\"/>
    </mc:Choice>
  </mc:AlternateContent>
  <bookViews>
    <workbookView xWindow="6420" yWindow="105" windowWidth="6480" windowHeight="3810"/>
  </bookViews>
  <sheets>
    <sheet name="gr3" sheetId="19" r:id="rId1"/>
  </sheets>
  <definedNames>
    <definedName name="_xlnm._FilterDatabase" localSheetId="0" hidden="1">'gr3'!#REF!</definedName>
  </definedNames>
  <calcPr calcId="152511"/>
</workbook>
</file>

<file path=xl/calcChain.xml><?xml version="1.0" encoding="utf-8"?>
<calcChain xmlns="http://schemas.openxmlformats.org/spreadsheetml/2006/main">
  <c r="C21" i="19" l="1"/>
  <c r="D21" i="19"/>
  <c r="E21" i="19"/>
  <c r="B21" i="19"/>
</calcChain>
</file>

<file path=xl/sharedStrings.xml><?xml version="1.0" encoding="utf-8"?>
<sst xmlns="http://schemas.openxmlformats.org/spreadsheetml/2006/main" count="17" uniqueCount="15">
  <si>
    <t>ըստ երկրների խմբերի</t>
  </si>
  <si>
    <t>(հազ. ԱՄՆ  դոլար)</t>
  </si>
  <si>
    <t>ԵՐԿՐՆԵՐԻ  ԽՄԲԵՐԸ</t>
  </si>
  <si>
    <t>ԱՐՏԱՀԱՆՈՒՄ</t>
  </si>
  <si>
    <t>ՆԵՐՄՈՒԾՈՒՄ</t>
  </si>
  <si>
    <t>ԱՊՀ</t>
  </si>
  <si>
    <t>ԱՍԻԱ</t>
  </si>
  <si>
    <t>ԱՄԵՐԻԿԱ</t>
  </si>
  <si>
    <t>ԱՅԼ ԵՐԿՐՆԵՐ</t>
  </si>
  <si>
    <t>ԸՆԴԱՄԵՆԸ</t>
  </si>
  <si>
    <t>ԵՄ</t>
  </si>
  <si>
    <t xml:space="preserve">ՀՀ արտաքին և փոխադարձ առեւտուրն </t>
  </si>
  <si>
    <t>ԵՏՄ</t>
  </si>
  <si>
    <t>2018թ.</t>
  </si>
  <si>
    <t>2019թ.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</si>
</sst>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 Armenian"/>
    </font>
    <font>
      <sz val="5"/>
      <name val="Arial Armenian"/>
      <family val="2"/>
    </font>
    <font>
      <sz val="8"/>
      <name val="Arial Armenian"/>
    </font>
    <font>
      <sz val="2"/>
      <name val="Arial Armenian"/>
      <family val="2"/>
    </font>
    <font>
      <b/>
      <sz val="12"/>
      <name val="GHEA Grapalat"/>
      <family val="3"/>
    </font>
    <font>
      <b/>
      <sz val="10"/>
      <name val="GHEA Grapalat"/>
      <family val="3"/>
    </font>
    <font>
      <b/>
      <sz val="12"/>
      <name val="GHEA Mariam"/>
      <family val="3"/>
    </font>
    <font>
      <sz val="10"/>
      <name val="GHEA Mariam"/>
      <family val="3"/>
    </font>
    <font>
      <b/>
      <sz val="10"/>
      <name val="GHEA Mariam"/>
      <family val="3"/>
    </font>
    <font>
      <b/>
      <sz val="11"/>
      <name val="GHEA Mariam"/>
      <family val="3"/>
    </font>
    <font>
      <sz val="5"/>
      <name val="GHEA Mariam"/>
      <family val="3"/>
    </font>
    <font>
      <sz val="11"/>
      <name val="GHEA Mariam"/>
      <family val="3"/>
    </font>
    <font>
      <sz val="2"/>
      <name val="GHEA Mariam"/>
      <family val="3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2" borderId="0" xfId="0" applyFont="1" applyFill="1"/>
    <xf numFmtId="0" fontId="3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0" xfId="0" applyFont="1" applyBorder="1"/>
    <xf numFmtId="0" fontId="10" fillId="0" borderId="0" xfId="0" applyFont="1" applyBorder="1" applyAlignment="1">
      <alignment horizontal="center"/>
    </xf>
    <xf numFmtId="3" fontId="11" fillId="0" borderId="0" xfId="0" applyNumberFormat="1" applyFont="1"/>
    <xf numFmtId="0" fontId="12" fillId="3" borderId="0" xfId="0" applyFont="1" applyFill="1"/>
    <xf numFmtId="3" fontId="11" fillId="3" borderId="0" xfId="0" applyNumberFormat="1" applyFont="1" applyFill="1"/>
    <xf numFmtId="0" fontId="12" fillId="2" borderId="0" xfId="0" applyFont="1" applyFill="1"/>
    <xf numFmtId="3" fontId="12" fillId="2" borderId="0" xfId="0" applyNumberFormat="1" applyFont="1" applyFill="1"/>
    <xf numFmtId="0" fontId="9" fillId="0" borderId="5" xfId="0" applyFont="1" applyBorder="1"/>
    <xf numFmtId="3" fontId="9" fillId="0" borderId="5" xfId="0" applyNumberFormat="1" applyFont="1" applyBorder="1"/>
    <xf numFmtId="0" fontId="7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3" fontId="11" fillId="0" borderId="0" xfId="0" applyNumberFormat="1" applyFont="1" applyFill="1"/>
    <xf numFmtId="0" fontId="7" fillId="0" borderId="0" xfId="0" applyFont="1" applyFill="1"/>
    <xf numFmtId="0" fontId="7" fillId="3" borderId="0" xfId="0" applyFont="1" applyFill="1"/>
    <xf numFmtId="0" fontId="5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r>
              <a:rPr lang="en-US"/>
              <a:t>²ðî²Ð²ÜàôØ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hPercent val="500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'gr3'!#REF!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'gr3'!#REF!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</c:extLst>
        </c:ser>
        <c:ser>
          <c:idx val="1"/>
          <c:order val="1"/>
          <c:tx>
            <c:v>'gr3'!#REF!</c:v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'gr3'!#REF!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</c:extLst>
        </c:ser>
        <c:ser>
          <c:idx val="2"/>
          <c:order val="2"/>
          <c:tx>
            <c:v>'gr3'!#REF!</c:v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'gr3'!#REF!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379007880"/>
        <c:axId val="379008664"/>
        <c:axId val="0"/>
      </c:bar3DChart>
      <c:catAx>
        <c:axId val="379007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37900866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790086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 Armenian"/>
                    <a:ea typeface="Arial Armenian"/>
                    <a:cs typeface="Arial Armenian"/>
                  </a:defRPr>
                </a:pPr>
                <a:r>
                  <a:rPr lang="en-US"/>
                  <a:t>Ñ³½. ¹áÉ³ñ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37900788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r>
              <a:rPr lang="en-US"/>
              <a:t>ÜºðØàôÌàôØ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hPercent val="500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'gr3'!#REF!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'gr3'!#REF!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</c:extLst>
        </c:ser>
        <c:ser>
          <c:idx val="1"/>
          <c:order val="1"/>
          <c:tx>
            <c:v>'gr3'!#REF!</c:v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'gr3'!#REF!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</c:extLst>
        </c:ser>
        <c:ser>
          <c:idx val="2"/>
          <c:order val="2"/>
          <c:tx>
            <c:v>'gr3'!#REF!</c:v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'gr3'!#REF!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365398520"/>
        <c:axId val="365399304"/>
        <c:axId val="0"/>
      </c:bar3DChart>
      <c:catAx>
        <c:axId val="365398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36539930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653993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 Armenian"/>
                    <a:ea typeface="Arial Armenian"/>
                    <a:cs typeface="Arial Armenian"/>
                  </a:defRPr>
                </a:pPr>
                <a:r>
                  <a:rPr lang="en-US"/>
                  <a:t>Ñ³½. ¹áÉ³ñ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36539852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r>
              <a:rPr lang="en-US"/>
              <a:t>²ðî²Ð²ÜàôØ, 1999Ã.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'gr3'!#REF!</c:v>
          </c:tx>
          <c:spPr>
            <a:ln w="12700">
              <a:solidFill>
                <a:srgbClr val="000000"/>
              </a:solidFill>
              <a:prstDash val="solid"/>
            </a:ln>
          </c:spPr>
          <c:explosion val="16"/>
          <c:dPt>
            <c:idx val="0"/>
            <c:bubble3D val="0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Armenian"/>
                    <a:ea typeface="Arial Armenian"/>
                    <a:cs typeface="Arial Armenian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'gr3'!#REF!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'gr3'!#REF!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r>
              <a:rPr lang="en-US"/>
              <a:t>ÜºðØàôÌàôØ, 1999Ã.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6"/>
          <c:dPt>
            <c:idx val="0"/>
            <c:bubble3D val="0"/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Armenian"/>
                    <a:ea typeface="Arial Armenian"/>
                    <a:cs typeface="Arial Armenian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'gr3'!#REF!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'gr3'!#REF!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Mariam"/>
                <a:ea typeface="GHEA Mariam"/>
                <a:cs typeface="GHEA Mariam"/>
              </a:defRPr>
            </a:pPr>
            <a:r>
              <a:rPr lang="hy-AM"/>
              <a:t>ԱՐՏԱՀԱՆՈՒՄ</a:t>
            </a:r>
          </a:p>
        </c:rich>
      </c:tx>
      <c:layout>
        <c:manualLayout>
          <c:xMode val="edge"/>
          <c:yMode val="edge"/>
          <c:x val="0.42442780148664622"/>
          <c:y val="4.237288135593220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35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7.0229059987073586E-2"/>
          <c:y val="0.1228813559322034"/>
          <c:w val="0.82290137680505782"/>
          <c:h val="0.77542372881355937"/>
        </c:manualLayout>
      </c:layout>
      <c:bar3DChart>
        <c:barDir val="col"/>
        <c:grouping val="clustered"/>
        <c:varyColors val="0"/>
        <c:ser>
          <c:idx val="1"/>
          <c:order val="0"/>
          <c:tx>
            <c:strRef>
              <c:f>'gr3'!$B$7</c:f>
              <c:strCache>
                <c:ptCount val="1"/>
                <c:pt idx="0">
                  <c:v>2018թ.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('gr3'!$A$9,'gr3'!$A$11,'gr3'!$A$13,'gr3'!$A$15,'gr3'!$A$17,'gr3'!$A$19)</c:f>
              <c:strCache>
                <c:ptCount val="6"/>
                <c:pt idx="0">
                  <c:v>ԵՏՄ</c:v>
                </c:pt>
                <c:pt idx="1">
                  <c:v>ԱՊՀ</c:v>
                </c:pt>
                <c:pt idx="2">
                  <c:v>ԵՄ</c:v>
                </c:pt>
                <c:pt idx="3">
                  <c:v>ԱՍԻԱ</c:v>
                </c:pt>
                <c:pt idx="4">
                  <c:v>ԱՄԵՐԻԿԱ</c:v>
                </c:pt>
                <c:pt idx="5">
                  <c:v>ԱՅԼ ԵՐԿՐՆԵՐ</c:v>
                </c:pt>
              </c:strCache>
            </c:strRef>
          </c:cat>
          <c:val>
            <c:numRef>
              <c:f>('gr3'!$B$9,'gr3'!$B$11,'gr3'!$B$13,'gr3'!$B$15,'gr3'!$B$17,'gr3'!$B$19)</c:f>
              <c:numCache>
                <c:formatCode>#,##0</c:formatCode>
                <c:ptCount val="6"/>
                <c:pt idx="0">
                  <c:v>683944</c:v>
                </c:pt>
                <c:pt idx="1">
                  <c:v>710941.3</c:v>
                </c:pt>
                <c:pt idx="2">
                  <c:v>683535.9</c:v>
                </c:pt>
                <c:pt idx="3">
                  <c:v>592079.9</c:v>
                </c:pt>
                <c:pt idx="4">
                  <c:v>81118.899999999994</c:v>
                </c:pt>
                <c:pt idx="5">
                  <c:v>339236.2</c:v>
                </c:pt>
              </c:numCache>
            </c:numRef>
          </c:val>
        </c:ser>
        <c:ser>
          <c:idx val="2"/>
          <c:order val="1"/>
          <c:tx>
            <c:strRef>
              <c:f>'gr3'!$C$7</c:f>
              <c:strCache>
                <c:ptCount val="1"/>
                <c:pt idx="0">
                  <c:v>2019թ.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('gr3'!$A$9,'gr3'!$A$11,'gr3'!$A$13,'gr3'!$A$15,'gr3'!$A$17,'gr3'!$A$19)</c:f>
              <c:strCache>
                <c:ptCount val="6"/>
                <c:pt idx="0">
                  <c:v>ԵՏՄ</c:v>
                </c:pt>
                <c:pt idx="1">
                  <c:v>ԱՊՀ</c:v>
                </c:pt>
                <c:pt idx="2">
                  <c:v>ԵՄ</c:v>
                </c:pt>
                <c:pt idx="3">
                  <c:v>ԱՍԻԱ</c:v>
                </c:pt>
                <c:pt idx="4">
                  <c:v>ԱՄԵՐԻԿԱ</c:v>
                </c:pt>
                <c:pt idx="5">
                  <c:v>ԱՅԼ ԵՐԿՐՆԵՐ</c:v>
                </c:pt>
              </c:strCache>
            </c:strRef>
          </c:cat>
          <c:val>
            <c:numRef>
              <c:f>('gr3'!$C$9,'gr3'!$C$11,'gr3'!$C$13,'gr3'!$C$15,'gr3'!$C$17,'gr3'!$C$19)</c:f>
              <c:numCache>
                <c:formatCode>#,##0</c:formatCode>
                <c:ptCount val="6"/>
                <c:pt idx="0">
                  <c:v>766681</c:v>
                </c:pt>
                <c:pt idx="1">
                  <c:v>803181.2</c:v>
                </c:pt>
                <c:pt idx="2">
                  <c:v>582779</c:v>
                </c:pt>
                <c:pt idx="3">
                  <c:v>674317.7</c:v>
                </c:pt>
                <c:pt idx="4">
                  <c:v>116141.9</c:v>
                </c:pt>
                <c:pt idx="5">
                  <c:v>460196.5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365396168"/>
        <c:axId val="365396560"/>
        <c:axId val="0"/>
      </c:bar3DChart>
      <c:catAx>
        <c:axId val="365396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3653965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653965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հազ.դոլար</a:t>
                </a:r>
              </a:p>
            </c:rich>
          </c:tx>
          <c:layout>
            <c:manualLayout>
              <c:xMode val="edge"/>
              <c:yMode val="edge"/>
              <c:x val="9.1603053435114507E-3"/>
              <c:y val="0.3983050847457627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3653961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992430526336876"/>
          <c:y val="0.50847457627118642"/>
          <c:w val="7.7862595419847302E-2"/>
          <c:h val="0.1949152542372881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ՆԵՐՄՈՒԾՈՒՄ</a:t>
            </a:r>
          </a:p>
        </c:rich>
      </c:tx>
      <c:layout>
        <c:manualLayout>
          <c:xMode val="edge"/>
          <c:yMode val="edge"/>
          <c:x val="0.42153846153846153"/>
          <c:y val="4.1152263374485597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37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7.0769230769230765E-2"/>
          <c:y val="0.12345728627060133"/>
          <c:w val="0.82"/>
          <c:h val="0.78189614638047511"/>
        </c:manualLayout>
      </c:layout>
      <c:bar3DChart>
        <c:barDir val="col"/>
        <c:grouping val="clustered"/>
        <c:varyColors val="0"/>
        <c:ser>
          <c:idx val="1"/>
          <c:order val="0"/>
          <c:tx>
            <c:strRef>
              <c:f>'gr3'!$D$7</c:f>
              <c:strCache>
                <c:ptCount val="1"/>
                <c:pt idx="0">
                  <c:v>2018թ.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('gr3'!$A$9,'gr3'!$A$11,'gr3'!$A$13,'gr3'!$A$15,'gr3'!$A$17,'gr3'!$A$19)</c:f>
              <c:strCache>
                <c:ptCount val="6"/>
                <c:pt idx="0">
                  <c:v>ԵՏՄ</c:v>
                </c:pt>
                <c:pt idx="1">
                  <c:v>ԱՊՀ</c:v>
                </c:pt>
                <c:pt idx="2">
                  <c:v>ԵՄ</c:v>
                </c:pt>
                <c:pt idx="3">
                  <c:v>ԱՍԻԱ</c:v>
                </c:pt>
                <c:pt idx="4">
                  <c:v>ԱՄԵՐԻԿԱ</c:v>
                </c:pt>
                <c:pt idx="5">
                  <c:v>ԱՅԼ ԵՐԿՐՆԵՐ</c:v>
                </c:pt>
              </c:strCache>
            </c:strRef>
          </c:cat>
          <c:val>
            <c:numRef>
              <c:f>('gr3'!$D$9,'gr3'!$D$11,'gr3'!$D$13,'gr3'!$D$15,'gr3'!$D$17,'gr3'!$D$19)</c:f>
              <c:numCache>
                <c:formatCode>#,##0</c:formatCode>
                <c:ptCount val="6"/>
                <c:pt idx="0">
                  <c:v>1446204</c:v>
                </c:pt>
                <c:pt idx="1">
                  <c:v>1631553.9</c:v>
                </c:pt>
                <c:pt idx="2">
                  <c:v>1115002.1000000001</c:v>
                </c:pt>
                <c:pt idx="3">
                  <c:v>1706152.7</c:v>
                </c:pt>
                <c:pt idx="4">
                  <c:v>313566.90000000002</c:v>
                </c:pt>
                <c:pt idx="5">
                  <c:v>199140.1</c:v>
                </c:pt>
              </c:numCache>
            </c:numRef>
          </c:val>
        </c:ser>
        <c:ser>
          <c:idx val="2"/>
          <c:order val="1"/>
          <c:tx>
            <c:strRef>
              <c:f>'gr3'!$E$7</c:f>
              <c:strCache>
                <c:ptCount val="1"/>
                <c:pt idx="0">
                  <c:v>2019թ.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('gr3'!$A$9,'gr3'!$A$11,'gr3'!$A$13,'gr3'!$A$15,'gr3'!$A$17,'gr3'!$A$19)</c:f>
              <c:strCache>
                <c:ptCount val="6"/>
                <c:pt idx="0">
                  <c:v>ԵՏՄ</c:v>
                </c:pt>
                <c:pt idx="1">
                  <c:v>ԱՊՀ</c:v>
                </c:pt>
                <c:pt idx="2">
                  <c:v>ԵՄ</c:v>
                </c:pt>
                <c:pt idx="3">
                  <c:v>ԱՍԻԱ</c:v>
                </c:pt>
                <c:pt idx="4">
                  <c:v>ԱՄԵՐԻԿԱ</c:v>
                </c:pt>
                <c:pt idx="5">
                  <c:v>ԱՅԼ ԵՐԿՐՆԵՐ</c:v>
                </c:pt>
              </c:strCache>
            </c:strRef>
          </c:cat>
          <c:val>
            <c:numRef>
              <c:f>('gr3'!$E$9,'gr3'!$E$11,'gr3'!$E$13,'gr3'!$E$15,'gr3'!$E$17,'gr3'!$E$19)</c:f>
              <c:numCache>
                <c:formatCode>#,##0</c:formatCode>
                <c:ptCount val="6"/>
                <c:pt idx="0">
                  <c:v>1705620</c:v>
                </c:pt>
                <c:pt idx="1">
                  <c:v>1860857.9</c:v>
                </c:pt>
                <c:pt idx="2">
                  <c:v>1128370.3999999999</c:v>
                </c:pt>
                <c:pt idx="3">
                  <c:v>1979530.3</c:v>
                </c:pt>
                <c:pt idx="4">
                  <c:v>442114.4</c:v>
                </c:pt>
                <c:pt idx="5">
                  <c:v>142396.1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05242440"/>
        <c:axId val="205243224"/>
        <c:axId val="0"/>
      </c:bar3DChart>
      <c:catAx>
        <c:axId val="205242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20524322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052432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հազ.դոլար</a:t>
                </a:r>
              </a:p>
            </c:rich>
          </c:tx>
          <c:layout>
            <c:manualLayout>
              <c:xMode val="edge"/>
              <c:yMode val="edge"/>
              <c:x val="1.2307692307692308E-2"/>
              <c:y val="0.3923199723491353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2052424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769230769230769"/>
          <c:y val="0.50617499972997204"/>
          <c:w val="7.999999999999996E-2"/>
          <c:h val="0.135802901180562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r>
              <a:rPr lang="en-US" sz="1000" b="1" i="0" u="none" strike="noStrike" baseline="0">
                <a:solidFill>
                  <a:srgbClr val="000000"/>
                </a:solidFill>
                <a:latin typeface="GHEA Grapalat"/>
              </a:rPr>
              <a:t>ԱՐՏԱՀԱՆՈՒՄ  2019թ.</a:t>
            </a:r>
          </a:p>
        </c:rich>
      </c:tx>
      <c:layout>
        <c:manualLayout>
          <c:xMode val="edge"/>
          <c:yMode val="edge"/>
          <c:x val="0.2540720032145819"/>
          <c:y val="4.1284403669724773E-2"/>
        </c:manualLayout>
      </c:layout>
      <c:overlay val="0"/>
      <c:spPr>
        <a:noFill/>
        <a:ln w="25400">
          <a:noFill/>
        </a:ln>
      </c:spPr>
    </c:title>
    <c:autoTitleDeleted val="0"/>
    <c:view3D>
      <c:rotX val="20"/>
      <c:rotY val="2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4115092290988056E-2"/>
          <c:y val="0.18654434250764526"/>
          <c:w val="0.98588490770901194"/>
          <c:h val="0.81345565749235471"/>
        </c:manualLayout>
      </c:layout>
      <c:pie3D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79"/>
          <c:dPt>
            <c:idx val="0"/>
            <c:bubble3D val="0"/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4"/>
            <c:bubble3D val="0"/>
            <c:spPr>
              <a:solidFill>
                <a:srgbClr val="60008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5"/>
            <c:bubble3D val="0"/>
            <c:explosion val="83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2.6058631921824105E-2"/>
                  <c:y val="-9.785932721712538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6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3.4744842562432141E-2"/>
                  <c:y val="7.3394495412843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6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1.737242128121607E-2"/>
                  <c:y val="7.339449541284404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6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8.6862106406080351E-3"/>
                  <c:y val="-7.339449541284404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6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6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00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('gr3'!$A$9,'gr3'!$A$11,'gr3'!$A$13,'gr3'!$A$15,'gr3'!$A$17,'gr3'!$A$19)</c:f>
              <c:strCache>
                <c:ptCount val="6"/>
                <c:pt idx="0">
                  <c:v>ԵՏՄ</c:v>
                </c:pt>
                <c:pt idx="1">
                  <c:v>ԱՊՀ</c:v>
                </c:pt>
                <c:pt idx="2">
                  <c:v>ԵՄ</c:v>
                </c:pt>
                <c:pt idx="3">
                  <c:v>ԱՍԻԱ</c:v>
                </c:pt>
                <c:pt idx="4">
                  <c:v>ԱՄԵՐԻԿԱ</c:v>
                </c:pt>
                <c:pt idx="5">
                  <c:v>ԱՅԼ ԵՐԿՐՆԵՐ</c:v>
                </c:pt>
              </c:strCache>
            </c:strRef>
          </c:cat>
          <c:val>
            <c:numRef>
              <c:f>('gr3'!$C$9,'gr3'!$C$11,'gr3'!$C$13,'gr3'!$C$15,'gr3'!$C$17,'gr3'!$C$19)</c:f>
              <c:numCache>
                <c:formatCode>#,##0</c:formatCode>
                <c:ptCount val="6"/>
                <c:pt idx="0">
                  <c:v>766681</c:v>
                </c:pt>
                <c:pt idx="1">
                  <c:v>803181.2</c:v>
                </c:pt>
                <c:pt idx="2">
                  <c:v>582779</c:v>
                </c:pt>
                <c:pt idx="3">
                  <c:v>674317.7</c:v>
                </c:pt>
                <c:pt idx="4">
                  <c:v>116141.9</c:v>
                </c:pt>
                <c:pt idx="5">
                  <c:v>460196.5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-4" verticalDpi="15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r>
              <a:rPr lang="en-US" sz="1000" b="1" i="0" u="none" strike="noStrike" baseline="0">
                <a:solidFill>
                  <a:srgbClr val="000000"/>
                </a:solidFill>
                <a:latin typeface="GHEA Grapalat"/>
              </a:rPr>
              <a:t>ՆԵՐՄՈՒԾՈՒՄ  2019թ.</a:t>
            </a:r>
          </a:p>
        </c:rich>
      </c:tx>
      <c:layout>
        <c:manualLayout>
          <c:xMode val="edge"/>
          <c:yMode val="edge"/>
          <c:x val="0.27381046119235097"/>
          <c:y val="4.1284403669724773E-2"/>
        </c:manualLayout>
      </c:layout>
      <c:overlay val="0"/>
      <c:spPr>
        <a:noFill/>
        <a:ln w="25400">
          <a:noFill/>
        </a:ln>
      </c:spPr>
    </c:title>
    <c:autoTitleDeleted val="0"/>
    <c:view3D>
      <c:rotX val="2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6865391826021748E-2"/>
          <c:y val="0.3058103975535168"/>
          <c:w val="0.97916635420572429"/>
          <c:h val="0.6941896024464832"/>
        </c:manualLayout>
      </c:layout>
      <c:pie3D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37"/>
          <c:dPt>
            <c:idx val="0"/>
            <c:bubble3D val="0"/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4"/>
            <c:bubble3D val="0"/>
            <c:explosion val="99"/>
            <c:spPr>
              <a:solidFill>
                <a:srgbClr val="60008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3.5714285714285712E-2"/>
                  <c:y val="-5.50458715596330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1904761904761904E-2"/>
                  <c:y val="7.339449541284404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3.637524116577141E-17"/>
                  <c:y val="5.50458715596330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2908216199453213"/>
                  <c:y val="-9.529437260709378E-2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1.9841269841269878E-2"/>
                  <c:y val="-8.562691131498473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('gr3'!$A$9,'gr3'!$A$11,'gr3'!$A$13,'gr3'!$A$15,'gr3'!$A$17,'gr3'!$A$19)</c:f>
              <c:strCache>
                <c:ptCount val="6"/>
                <c:pt idx="0">
                  <c:v>ԵՏՄ</c:v>
                </c:pt>
                <c:pt idx="1">
                  <c:v>ԱՊՀ</c:v>
                </c:pt>
                <c:pt idx="2">
                  <c:v>ԵՄ</c:v>
                </c:pt>
                <c:pt idx="3">
                  <c:v>ԱՍԻԱ</c:v>
                </c:pt>
                <c:pt idx="4">
                  <c:v>ԱՄԵՐԻԿԱ</c:v>
                </c:pt>
                <c:pt idx="5">
                  <c:v>ԱՅԼ ԵՐԿՐՆԵՐ</c:v>
                </c:pt>
              </c:strCache>
            </c:strRef>
          </c:cat>
          <c:val>
            <c:numRef>
              <c:f>('gr3'!$E$9,'gr3'!$E$11,'gr3'!$E$13,'gr3'!$E$15,'gr3'!$E$17,'gr3'!$E$19)</c:f>
              <c:numCache>
                <c:formatCode>#,##0</c:formatCode>
                <c:ptCount val="6"/>
                <c:pt idx="0">
                  <c:v>1705620</c:v>
                </c:pt>
                <c:pt idx="1">
                  <c:v>1860857.9</c:v>
                </c:pt>
                <c:pt idx="2">
                  <c:v>1128370.3999999999</c:v>
                </c:pt>
                <c:pt idx="3">
                  <c:v>1979530.3</c:v>
                </c:pt>
                <c:pt idx="4">
                  <c:v>442114.4</c:v>
                </c:pt>
                <c:pt idx="5">
                  <c:v>142396.1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0</xdr:col>
      <xdr:colOff>0</xdr:colOff>
      <xdr:row>32</xdr:row>
      <xdr:rowOff>114300</xdr:rowOff>
    </xdr:to>
    <xdr:graphicFrame macro="">
      <xdr:nvGraphicFramePr>
        <xdr:cNvPr id="4281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9525</xdr:rowOff>
    </xdr:from>
    <xdr:to>
      <xdr:col>0</xdr:col>
      <xdr:colOff>0</xdr:colOff>
      <xdr:row>46</xdr:row>
      <xdr:rowOff>114300</xdr:rowOff>
    </xdr:to>
    <xdr:graphicFrame macro="">
      <xdr:nvGraphicFramePr>
        <xdr:cNvPr id="4282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0</xdr:col>
      <xdr:colOff>0</xdr:colOff>
      <xdr:row>59</xdr:row>
      <xdr:rowOff>133350</xdr:rowOff>
    </xdr:to>
    <xdr:graphicFrame macro="">
      <xdr:nvGraphicFramePr>
        <xdr:cNvPr id="428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47</xdr:row>
      <xdr:rowOff>9525</xdr:rowOff>
    </xdr:from>
    <xdr:to>
      <xdr:col>0</xdr:col>
      <xdr:colOff>0</xdr:colOff>
      <xdr:row>59</xdr:row>
      <xdr:rowOff>142875</xdr:rowOff>
    </xdr:to>
    <xdr:graphicFrame macro="">
      <xdr:nvGraphicFramePr>
        <xdr:cNvPr id="4284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22</xdr:row>
      <xdr:rowOff>28575</xdr:rowOff>
    </xdr:from>
    <xdr:to>
      <xdr:col>4</xdr:col>
      <xdr:colOff>1190625</xdr:colOff>
      <xdr:row>36</xdr:row>
      <xdr:rowOff>9525</xdr:rowOff>
    </xdr:to>
    <xdr:graphicFrame macro="">
      <xdr:nvGraphicFramePr>
        <xdr:cNvPr id="4285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</xdr:colOff>
      <xdr:row>36</xdr:row>
      <xdr:rowOff>57150</xdr:rowOff>
    </xdr:from>
    <xdr:to>
      <xdr:col>5</xdr:col>
      <xdr:colOff>0</xdr:colOff>
      <xdr:row>50</xdr:row>
      <xdr:rowOff>104775</xdr:rowOff>
    </xdr:to>
    <xdr:graphicFrame macro="">
      <xdr:nvGraphicFramePr>
        <xdr:cNvPr id="4286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47625</xdr:colOff>
      <xdr:row>51</xdr:row>
      <xdr:rowOff>9525</xdr:rowOff>
    </xdr:from>
    <xdr:to>
      <xdr:col>2</xdr:col>
      <xdr:colOff>266700</xdr:colOff>
      <xdr:row>63</xdr:row>
      <xdr:rowOff>142875</xdr:rowOff>
    </xdr:to>
    <xdr:graphicFrame macro="">
      <xdr:nvGraphicFramePr>
        <xdr:cNvPr id="4287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333375</xdr:colOff>
      <xdr:row>51</xdr:row>
      <xdr:rowOff>0</xdr:rowOff>
    </xdr:from>
    <xdr:to>
      <xdr:col>4</xdr:col>
      <xdr:colOff>1181100</xdr:colOff>
      <xdr:row>63</xdr:row>
      <xdr:rowOff>133350</xdr:rowOff>
    </xdr:to>
    <xdr:graphicFrame macro="">
      <xdr:nvGraphicFramePr>
        <xdr:cNvPr id="4288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22"/>
  <sheetViews>
    <sheetView tabSelected="1" workbookViewId="0">
      <selection activeCell="B9" sqref="B9:E9"/>
    </sheetView>
  </sheetViews>
  <sheetFormatPr defaultRowHeight="12.75" x14ac:dyDescent="0.2"/>
  <cols>
    <col min="1" max="1" width="22.5703125" customWidth="1"/>
    <col min="2" max="4" width="18" customWidth="1"/>
    <col min="5" max="5" width="17" customWidth="1"/>
    <col min="6" max="6" width="0.42578125" customWidth="1"/>
  </cols>
  <sheetData>
    <row r="1" spans="1:6" ht="17.25" x14ac:dyDescent="0.3">
      <c r="A1" s="24" t="s">
        <v>11</v>
      </c>
      <c r="B1" s="24"/>
      <c r="C1" s="24"/>
      <c r="D1" s="24"/>
      <c r="E1" s="24"/>
    </row>
    <row r="2" spans="1:6" ht="15" customHeight="1" x14ac:dyDescent="0.3">
      <c r="A2" s="24" t="s">
        <v>0</v>
      </c>
      <c r="B2" s="24"/>
      <c r="C2" s="24"/>
      <c r="D2" s="24"/>
      <c r="E2" s="24"/>
    </row>
    <row r="3" spans="1:6" ht="17.25" x14ac:dyDescent="0.3">
      <c r="A3" s="27" t="s">
        <v>1</v>
      </c>
      <c r="B3" s="27"/>
      <c r="C3" s="27"/>
      <c r="D3" s="27"/>
      <c r="E3" s="27"/>
    </row>
    <row r="4" spans="1:6" ht="12.75" customHeight="1" x14ac:dyDescent="0.3">
      <c r="A4" s="23"/>
      <c r="B4" s="23"/>
      <c r="C4" s="23"/>
      <c r="D4" s="23"/>
      <c r="E4" s="23"/>
      <c r="F4" s="23"/>
    </row>
    <row r="5" spans="1:6" ht="5.25" customHeight="1" thickBot="1" x14ac:dyDescent="0.35">
      <c r="A5" s="16"/>
      <c r="B5" s="16"/>
      <c r="C5" s="16"/>
      <c r="D5" s="16"/>
      <c r="E5" s="16"/>
    </row>
    <row r="6" spans="1:6" ht="18" thickTop="1" thickBot="1" x14ac:dyDescent="0.35">
      <c r="A6" s="5" t="s">
        <v>2</v>
      </c>
      <c r="B6" s="25" t="s">
        <v>3</v>
      </c>
      <c r="C6" s="26"/>
      <c r="D6" s="25" t="s">
        <v>4</v>
      </c>
      <c r="E6" s="26"/>
    </row>
    <row r="7" spans="1:6" ht="18" thickTop="1" thickBot="1" x14ac:dyDescent="0.3">
      <c r="A7" s="6"/>
      <c r="B7" s="17" t="s">
        <v>13</v>
      </c>
      <c r="C7" s="18" t="s">
        <v>14</v>
      </c>
      <c r="D7" s="17" t="s">
        <v>13</v>
      </c>
      <c r="E7" s="22" t="s">
        <v>14</v>
      </c>
    </row>
    <row r="8" spans="1:6" s="1" customFormat="1" ht="4.5" customHeight="1" thickTop="1" x14ac:dyDescent="0.15">
      <c r="A8" s="7"/>
      <c r="B8" s="8"/>
      <c r="C8" s="8"/>
      <c r="D8" s="8"/>
      <c r="E8" s="8"/>
    </row>
    <row r="9" spans="1:6" s="1" customFormat="1" ht="13.5" customHeight="1" x14ac:dyDescent="0.3">
      <c r="A9" s="20" t="s">
        <v>12</v>
      </c>
      <c r="B9" s="19">
        <v>683944</v>
      </c>
      <c r="C9" s="19">
        <v>766681</v>
      </c>
      <c r="D9" s="19">
        <v>1446204</v>
      </c>
      <c r="E9" s="19">
        <v>1705620</v>
      </c>
    </row>
    <row r="10" spans="1:6" s="1" customFormat="1" ht="4.5" customHeight="1" x14ac:dyDescent="0.3">
      <c r="A10" s="21"/>
      <c r="B10" s="11"/>
      <c r="C10" s="11"/>
      <c r="D10" s="11"/>
      <c r="E10" s="11"/>
    </row>
    <row r="11" spans="1:6" ht="16.5" x14ac:dyDescent="0.3">
      <c r="A11" s="4" t="s">
        <v>5</v>
      </c>
      <c r="B11" s="9">
        <v>710941.3</v>
      </c>
      <c r="C11" s="9">
        <v>803181.2</v>
      </c>
      <c r="D11" s="9">
        <v>1631553.9</v>
      </c>
      <c r="E11" s="9">
        <v>1860857.9</v>
      </c>
    </row>
    <row r="12" spans="1:6" s="3" customFormat="1" ht="4.5" customHeight="1" x14ac:dyDescent="0.3">
      <c r="A12" s="10"/>
      <c r="B12" s="11"/>
      <c r="C12" s="11"/>
      <c r="D12" s="11"/>
      <c r="E12" s="11"/>
    </row>
    <row r="13" spans="1:6" ht="16.5" x14ac:dyDescent="0.3">
      <c r="A13" s="4" t="s">
        <v>10</v>
      </c>
      <c r="B13" s="9">
        <v>683535.9</v>
      </c>
      <c r="C13" s="9">
        <v>582779</v>
      </c>
      <c r="D13" s="9">
        <v>1115002.1000000001</v>
      </c>
      <c r="E13" s="9">
        <v>1128370.3999999999</v>
      </c>
    </row>
    <row r="14" spans="1:6" s="3" customFormat="1" ht="4.5" customHeight="1" x14ac:dyDescent="0.3">
      <c r="A14" s="10"/>
      <c r="B14" s="11"/>
      <c r="C14" s="11"/>
      <c r="D14" s="11"/>
      <c r="E14" s="11"/>
    </row>
    <row r="15" spans="1:6" ht="16.5" x14ac:dyDescent="0.3">
      <c r="A15" s="4" t="s">
        <v>6</v>
      </c>
      <c r="B15" s="9">
        <v>592079.9</v>
      </c>
      <c r="C15" s="9">
        <v>674317.7</v>
      </c>
      <c r="D15" s="9">
        <v>1706152.7</v>
      </c>
      <c r="E15" s="9">
        <v>1979530.3</v>
      </c>
    </row>
    <row r="16" spans="1:6" s="3" customFormat="1" ht="3.75" customHeight="1" x14ac:dyDescent="0.3">
      <c r="A16" s="10"/>
      <c r="B16" s="11"/>
      <c r="C16" s="11"/>
      <c r="D16" s="11"/>
      <c r="E16" s="11"/>
    </row>
    <row r="17" spans="1:5" ht="16.5" x14ac:dyDescent="0.3">
      <c r="A17" s="4" t="s">
        <v>7</v>
      </c>
      <c r="B17" s="9">
        <v>81118.899999999994</v>
      </c>
      <c r="C17" s="9">
        <v>116141.9</v>
      </c>
      <c r="D17" s="9">
        <v>313566.90000000002</v>
      </c>
      <c r="E17" s="9">
        <v>442114.4</v>
      </c>
    </row>
    <row r="18" spans="1:5" s="3" customFormat="1" ht="3.75" customHeight="1" x14ac:dyDescent="0.3">
      <c r="A18" s="10"/>
      <c r="B18" s="11"/>
      <c r="C18" s="11"/>
      <c r="D18" s="11"/>
      <c r="E18" s="11"/>
    </row>
    <row r="19" spans="1:5" ht="16.5" x14ac:dyDescent="0.3">
      <c r="A19" s="4" t="s">
        <v>8</v>
      </c>
      <c r="B19" s="9">
        <v>339236.2</v>
      </c>
      <c r="C19" s="9">
        <v>460196.5</v>
      </c>
      <c r="D19" s="9">
        <v>199140.1</v>
      </c>
      <c r="E19" s="9">
        <v>142396.1</v>
      </c>
    </row>
    <row r="20" spans="1:5" s="3" customFormat="1" ht="6" thickBot="1" x14ac:dyDescent="0.2">
      <c r="A20" s="12"/>
      <c r="B20" s="13"/>
      <c r="C20" s="13"/>
      <c r="D20" s="13"/>
      <c r="E20" s="13"/>
    </row>
    <row r="21" spans="1:5" ht="17.25" thickBot="1" x14ac:dyDescent="0.35">
      <c r="A21" s="14" t="s">
        <v>9</v>
      </c>
      <c r="B21" s="15">
        <f>B11+B13+B15+B17+B19</f>
        <v>2406912.2000000002</v>
      </c>
      <c r="C21" s="15">
        <f>C11+C13+C15+C17+C19</f>
        <v>2636616.2999999998</v>
      </c>
      <c r="D21" s="15">
        <f>D11+D13+D15+D17+D19</f>
        <v>4965415.7</v>
      </c>
      <c r="E21" s="15">
        <f>E11+E13+E15+E17+E19</f>
        <v>5553269.0999999996</v>
      </c>
    </row>
    <row r="22" spans="1:5" s="3" customFormat="1" ht="5.25" x14ac:dyDescent="0.15">
      <c r="A22" s="2"/>
      <c r="B22" s="2"/>
      <c r="C22" s="2"/>
      <c r="D22" s="2"/>
      <c r="E22" s="2"/>
    </row>
  </sheetData>
  <mergeCells count="6">
    <mergeCell ref="A1:E1"/>
    <mergeCell ref="B6:C6"/>
    <mergeCell ref="D6:E6"/>
    <mergeCell ref="A2:E2"/>
    <mergeCell ref="A3:E3"/>
    <mergeCell ref="A4:F4"/>
  </mergeCells>
  <phoneticPr fontId="2" type="noConversion"/>
  <pageMargins left="0.71" right="0.16" top="0.35" bottom="0.5" header="0.16" footer="0.24"/>
  <pageSetup paperSize="9" firstPageNumber="4" orientation="portrait" useFirstPageNumber="1" horizontalDpi="300" verticalDpi="300" r:id="rId1"/>
  <headerFooter alignWithMargins="0">
    <oddHeader>&amp;R&amp;8&amp;U¶ñ³ýÇÏ 2</oddHeader>
    <oddFooter>&amp;C3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 Movsisjan</dc:creator>
  <cp:lastModifiedBy>Armen Movsesyan S.</cp:lastModifiedBy>
  <cp:lastPrinted>2018-11-13T07:22:18Z</cp:lastPrinted>
  <dcterms:created xsi:type="dcterms:W3CDTF">2001-03-30T11:12:39Z</dcterms:created>
  <dcterms:modified xsi:type="dcterms:W3CDTF">2020-03-02T06:16:45Z</dcterms:modified>
</cp:coreProperties>
</file>