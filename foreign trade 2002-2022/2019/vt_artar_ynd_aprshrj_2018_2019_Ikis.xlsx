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6420" yWindow="105" windowWidth="6480" windowHeight="3810"/>
  </bookViews>
  <sheets>
    <sheet name="gr1" sheetId="17" r:id="rId1"/>
  </sheets>
  <definedNames>
    <definedName name="_xlnm._FilterDatabase" localSheetId="0" hidden="1">'gr1'!#REF!</definedName>
  </definedNames>
  <calcPr calcId="144525"/>
</workbook>
</file>

<file path=xl/calcChain.xml><?xml version="1.0" encoding="utf-8"?>
<calcChain xmlns="http://schemas.openxmlformats.org/spreadsheetml/2006/main">
  <c r="C11" i="17" l="1"/>
  <c r="D11" i="17"/>
  <c r="E11" i="17"/>
  <c r="F11" i="17"/>
  <c r="G10" i="17"/>
  <c r="H10" i="17"/>
  <c r="H9" i="17"/>
  <c r="G9" i="17"/>
  <c r="H11" i="17"/>
  <c r="G11" i="17"/>
</calcChain>
</file>

<file path=xl/sharedStrings.xml><?xml version="1.0" encoding="utf-8"?>
<sst xmlns="http://schemas.openxmlformats.org/spreadsheetml/2006/main" count="16" uniqueCount="12">
  <si>
    <t>(հազար ԱՄՆ դոլար)</t>
  </si>
  <si>
    <t>Գործարքի բնույթը</t>
  </si>
  <si>
    <t>Արտահանում</t>
  </si>
  <si>
    <t>Ներմուծում</t>
  </si>
  <si>
    <t>Ընդամենը</t>
  </si>
  <si>
    <t>ՀՀ արտաքին և փոխադարձ առեւտրի ընդհանուր ապրանքաշրջանառությունը</t>
  </si>
  <si>
    <r>
      <t>ԸՆԴԱՄԵՆԸ</t>
    </r>
    <r>
      <rPr>
        <sz val="8"/>
        <rFont val="GHEA Grapalat"/>
        <family val="3"/>
      </rPr>
      <t>` այդ թվում</t>
    </r>
    <r>
      <rPr>
        <sz val="10"/>
        <rFont val="GHEA Grapalat"/>
        <family val="3"/>
      </rPr>
      <t xml:space="preserve"> </t>
    </r>
  </si>
  <si>
    <t>Փոխադարձ առևտուր</t>
  </si>
  <si>
    <t>Արտաքին առևտուր</t>
  </si>
  <si>
    <t>2018թ.</t>
  </si>
  <si>
    <t>I կիսամյակ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</si>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</sst>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Armenian"/>
    </font>
    <font>
      <sz val="8"/>
      <name val="Arial Armenian"/>
    </font>
    <font>
      <sz val="2"/>
      <name val="Arial Armenian"/>
      <family val="2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b/>
      <sz val="9"/>
      <name val="GHEA Grapalat"/>
      <family val="3"/>
    </font>
    <font>
      <b/>
      <sz val="2"/>
      <name val="GHEA Grapalat"/>
      <family val="3"/>
    </font>
    <font>
      <sz val="8"/>
      <name val="GHEA Grapalat"/>
      <family val="3"/>
    </font>
    <font>
      <sz val="12"/>
      <name val="Arial Armenian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0" xfId="0" applyFont="1" applyAlignment="1"/>
    <xf numFmtId="0" fontId="4" fillId="0" borderId="0" xfId="0" applyFont="1"/>
    <xf numFmtId="3" fontId="4" fillId="0" borderId="0" xfId="0" applyNumberFormat="1" applyFont="1" applyAlignment="1"/>
    <xf numFmtId="3" fontId="4" fillId="0" borderId="0" xfId="0" applyNumberFormat="1" applyFont="1"/>
    <xf numFmtId="0" fontId="4" fillId="0" borderId="0" xfId="0" applyFont="1" applyAlignment="1"/>
    <xf numFmtId="0" fontId="6" fillId="0" borderId="1" xfId="0" quotePrefix="1" applyFont="1" applyBorder="1" applyAlignment="1">
      <alignment horizontal="centerContinuous"/>
    </xf>
    <xf numFmtId="0" fontId="6" fillId="0" borderId="2" xfId="0" quotePrefix="1" applyFont="1" applyBorder="1" applyAlignment="1">
      <alignment horizontal="centerContinuous"/>
    </xf>
    <xf numFmtId="0" fontId="6" fillId="0" borderId="3" xfId="0" quotePrefix="1" applyFont="1" applyBorder="1" applyAlignment="1">
      <alignment horizontal="centerContinuous"/>
    </xf>
    <xf numFmtId="0" fontId="6" fillId="0" borderId="4" xfId="0" applyFont="1" applyBorder="1" applyAlignment="1">
      <alignment horizontal="centerContinuous"/>
    </xf>
    <xf numFmtId="0" fontId="6" fillId="0" borderId="5" xfId="0" applyFont="1" applyBorder="1" applyAlignment="1">
      <alignment horizontal="centerContinuous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0" xfId="0" applyFont="1" applyBorder="1" applyAlignment="1">
      <alignment horizontal="centerContinuous"/>
    </xf>
    <xf numFmtId="0" fontId="8" fillId="0" borderId="0" xfId="0" quotePrefix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3" fontId="4" fillId="0" borderId="11" xfId="0" quotePrefix="1" applyNumberFormat="1" applyFont="1" applyBorder="1" applyAlignment="1">
      <alignment horizontal="center" vertical="center"/>
    </xf>
    <xf numFmtId="3" fontId="4" fillId="0" borderId="12" xfId="0" quotePrefix="1" applyNumberFormat="1" applyFont="1" applyBorder="1" applyAlignment="1">
      <alignment horizontal="center" vertical="center"/>
    </xf>
    <xf numFmtId="3" fontId="4" fillId="0" borderId="13" xfId="0" quotePrefix="1" applyNumberFormat="1" applyFont="1" applyBorder="1" applyAlignment="1">
      <alignment horizontal="center" vertical="center"/>
    </xf>
    <xf numFmtId="3" fontId="9" fillId="0" borderId="14" xfId="0" applyNumberFormat="1" applyFont="1" applyBorder="1" applyAlignment="1">
      <alignment vertical="center"/>
    </xf>
    <xf numFmtId="3" fontId="9" fillId="0" borderId="15" xfId="0" applyNumberFormat="1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3" fontId="4" fillId="0" borderId="17" xfId="0" quotePrefix="1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right" vertical="center"/>
    </xf>
    <xf numFmtId="0" fontId="9" fillId="0" borderId="19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/>
    </xf>
    <xf numFmtId="0" fontId="4" fillId="0" borderId="21" xfId="0" applyFont="1" applyBorder="1" applyAlignment="1">
      <alignment horizontal="center" vertical="center"/>
    </xf>
    <xf numFmtId="3" fontId="10" fillId="0" borderId="0" xfId="0" applyNumberFormat="1" applyFont="1"/>
    <xf numFmtId="3" fontId="4" fillId="0" borderId="24" xfId="0" quotePrefix="1" applyNumberFormat="1" applyFont="1" applyBorder="1" applyAlignment="1">
      <alignment horizontal="center" vertical="center"/>
    </xf>
    <xf numFmtId="3" fontId="4" fillId="0" borderId="25" xfId="0" quotePrefix="1" applyNumberFormat="1" applyFont="1" applyBorder="1" applyAlignment="1">
      <alignment horizontal="center" vertical="center"/>
    </xf>
    <xf numFmtId="3" fontId="4" fillId="0" borderId="22" xfId="0" quotePrefix="1" applyNumberFormat="1" applyFont="1" applyBorder="1" applyAlignment="1">
      <alignment horizontal="center" vertical="center"/>
    </xf>
    <xf numFmtId="3" fontId="4" fillId="0" borderId="23" xfId="0" quotePrefix="1" applyNumberFormat="1" applyFont="1" applyBorder="1" applyAlignment="1">
      <alignment horizontal="center" vertical="center"/>
    </xf>
    <xf numFmtId="3" fontId="9" fillId="0" borderId="25" xfId="0" applyNumberFormat="1" applyFont="1" applyBorder="1" applyAlignment="1">
      <alignment vertical="center"/>
    </xf>
    <xf numFmtId="3" fontId="9" fillId="0" borderId="26" xfId="0" applyNumberFormat="1" applyFont="1" applyBorder="1" applyAlignment="1">
      <alignment vertical="center"/>
    </xf>
    <xf numFmtId="3" fontId="9" fillId="0" borderId="23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2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ԱՐՏԱՀԱՆՈՒՄ</a:t>
            </a:r>
          </a:p>
        </c:rich>
      </c:tx>
      <c:layout>
        <c:manualLayout>
          <c:xMode val="edge"/>
          <c:yMode val="edge"/>
          <c:x val="0.42266462480857581"/>
          <c:y val="2.03252032520325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8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4226646248085763E-2"/>
          <c:y val="0.10975653326875821"/>
          <c:w val="0.80551301684532928"/>
          <c:h val="0.76016561930584392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'gr1'!$C$7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'gr1'!$C$10:$C$11</c:f>
              <c:numCache>
                <c:formatCode>#,##0</c:formatCode>
                <c:ptCount val="2"/>
                <c:pt idx="0">
                  <c:v>301062.90000000002</c:v>
                </c:pt>
                <c:pt idx="1">
                  <c:v>868292.6</c:v>
                </c:pt>
              </c:numCache>
            </c:numRef>
          </c:val>
        </c:ser>
        <c:ser>
          <c:idx val="2"/>
          <c:order val="1"/>
          <c:tx>
            <c:strRef>
              <c:f>'gr1'!$D$7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'gr1'!$D$10:$D$11</c:f>
              <c:numCache>
                <c:formatCode>#,##0</c:formatCode>
                <c:ptCount val="2"/>
                <c:pt idx="0">
                  <c:v>321291.90000000002</c:v>
                </c:pt>
                <c:pt idx="1">
                  <c:v>847537.1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5904256"/>
        <c:axId val="175905792"/>
        <c:axId val="0"/>
      </c:bar3DChart>
      <c:catAx>
        <c:axId val="17590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1759057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5905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հազ.դոլար</a:t>
                </a:r>
              </a:p>
            </c:rich>
          </c:tx>
          <c:layout>
            <c:manualLayout>
              <c:xMode val="edge"/>
              <c:yMode val="edge"/>
              <c:x val="3.8284839203675342E-2"/>
              <c:y val="0.426830975396368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59042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811638591117916"/>
          <c:y val="0.50813221518041951"/>
          <c:w val="7.963246554364467E-2"/>
          <c:h val="0.134146768239335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</a:t>
            </a:r>
          </a:p>
        </c:rich>
      </c:tx>
      <c:layout>
        <c:manualLayout>
          <c:xMode val="edge"/>
          <c:yMode val="edge"/>
          <c:x val="0.42177946314992831"/>
          <c:y val="4.081632653061224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7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4355891394785429E-2"/>
          <c:y val="0.11836734693877551"/>
          <c:w val="0.80521532695022446"/>
          <c:h val="0.75102040816326532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'gr1'!$E$7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'gr1'!$E$10:$E$11</c:f>
              <c:numCache>
                <c:formatCode>#,##0</c:formatCode>
                <c:ptCount val="2"/>
                <c:pt idx="0">
                  <c:v>687796.6</c:v>
                </c:pt>
                <c:pt idx="1">
                  <c:v>1621095</c:v>
                </c:pt>
              </c:numCache>
            </c:numRef>
          </c:val>
        </c:ser>
        <c:ser>
          <c:idx val="2"/>
          <c:order val="1"/>
          <c:tx>
            <c:strRef>
              <c:f>'gr1'!$F$7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'gr1'!$F$10:$F$11</c:f>
              <c:numCache>
                <c:formatCode>#,##0</c:formatCode>
                <c:ptCount val="2"/>
                <c:pt idx="0">
                  <c:v>726246.6</c:v>
                </c:pt>
                <c:pt idx="1">
                  <c:v>1613871.1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75952640"/>
        <c:axId val="175954176"/>
        <c:axId val="0"/>
      </c:bar3DChart>
      <c:catAx>
        <c:axId val="17595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1759541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5954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հազ.դոլար</a:t>
                </a:r>
              </a:p>
            </c:rich>
          </c:tx>
          <c:layout>
            <c:manualLayout>
              <c:xMode val="edge"/>
              <c:yMode val="edge"/>
              <c:x val="2.7607361963190184E-2"/>
              <c:y val="0.416326530612244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759526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797610421396713"/>
          <c:y val="0.5061224489795918"/>
          <c:w val="7.9754601226993849E-2"/>
          <c:h val="0.134693877551020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ԱՐՏԱՀԱՆՈՒՄ 2018թ.</a:t>
            </a:r>
          </a:p>
        </c:rich>
      </c:tx>
      <c:layout>
        <c:manualLayout>
          <c:xMode val="edge"/>
          <c:yMode val="edge"/>
          <c:x val="0.27018666144992742"/>
          <c:y val="3.8167938931297711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3809849855724541E-2"/>
          <c:y val="0.33587866402195904"/>
          <c:w val="0.97619015014427546"/>
          <c:h val="0.57760854320690824"/>
        </c:manualLayout>
      </c:layout>
      <c:pie3DChart>
        <c:varyColors val="1"/>
        <c:ser>
          <c:idx val="0"/>
          <c:order val="0"/>
          <c:tx>
            <c:strRef>
              <c:f>'gr1'!$D$7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4"/>
          <c:dPt>
            <c:idx val="0"/>
            <c:bubble3D val="0"/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2.4844720496894408E-2"/>
                  <c:y val="-0.1323155216284987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889147552208148"/>
                  <c:y val="-0.60888461461401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'gr1'!$D$10:$D$11</c:f>
              <c:numCache>
                <c:formatCode>#,##0</c:formatCode>
                <c:ptCount val="2"/>
                <c:pt idx="0">
                  <c:v>321291.90000000002</c:v>
                </c:pt>
                <c:pt idx="1">
                  <c:v>847537.1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 verticalDpi="15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 2018թ.</a:t>
            </a:r>
          </a:p>
        </c:rich>
      </c:tx>
      <c:layout>
        <c:manualLayout>
          <c:xMode val="edge"/>
          <c:yMode val="edge"/>
          <c:x val="0.27160591037231457"/>
          <c:y val="3.8314176245210725E-2"/>
        </c:manualLayout>
      </c:layout>
      <c:overlay val="0"/>
      <c:spPr>
        <a:noFill/>
        <a:ln w="25400">
          <a:noFill/>
        </a:ln>
      </c:spPr>
    </c:title>
    <c:autoTitleDeleted val="0"/>
    <c:view3D>
      <c:rotX val="4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23116380567371608"/>
          <c:w val="1"/>
          <c:h val="0.73946440602970609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plosion val="30"/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6.1728395061728392E-2"/>
                  <c:y val="-0.1430395913154534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4.11522633744856E-3"/>
                  <c:y val="9.7062579821200506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'gr1'!$A$10:$B$11</c:f>
              <c:strCache>
                <c:ptCount val="2"/>
                <c:pt idx="0">
                  <c:v>Փոխադարձ առևտուր</c:v>
                </c:pt>
                <c:pt idx="1">
                  <c:v>Արտաքին առևտուր</c:v>
                </c:pt>
              </c:strCache>
            </c:strRef>
          </c:cat>
          <c:val>
            <c:numRef>
              <c:f>'gr1'!$F$10:$F$11</c:f>
              <c:numCache>
                <c:formatCode>#,##0</c:formatCode>
                <c:ptCount val="2"/>
                <c:pt idx="0">
                  <c:v>726246.6</c:v>
                </c:pt>
                <c:pt idx="1">
                  <c:v>1613871.1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 verticalDpi="15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12</xdr:row>
      <xdr:rowOff>0</xdr:rowOff>
    </xdr:from>
    <xdr:to>
      <xdr:col>8</xdr:col>
      <xdr:colOff>0</xdr:colOff>
      <xdr:row>25</xdr:row>
      <xdr:rowOff>114300</xdr:rowOff>
    </xdr:to>
    <xdr:graphicFrame macro="">
      <xdr:nvGraphicFramePr>
        <xdr:cNvPr id="213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26</xdr:row>
      <xdr:rowOff>9525</xdr:rowOff>
    </xdr:from>
    <xdr:to>
      <xdr:col>7</xdr:col>
      <xdr:colOff>752475</xdr:colOff>
      <xdr:row>39</xdr:row>
      <xdr:rowOff>114300</xdr:rowOff>
    </xdr:to>
    <xdr:graphicFrame macro="">
      <xdr:nvGraphicFramePr>
        <xdr:cNvPr id="213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40</xdr:row>
      <xdr:rowOff>0</xdr:rowOff>
    </xdr:from>
    <xdr:to>
      <xdr:col>3</xdr:col>
      <xdr:colOff>561975</xdr:colOff>
      <xdr:row>54</xdr:row>
      <xdr:rowOff>95250</xdr:rowOff>
    </xdr:to>
    <xdr:graphicFrame macro="">
      <xdr:nvGraphicFramePr>
        <xdr:cNvPr id="213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600075</xdr:colOff>
      <xdr:row>40</xdr:row>
      <xdr:rowOff>9525</xdr:rowOff>
    </xdr:from>
    <xdr:to>
      <xdr:col>7</xdr:col>
      <xdr:colOff>752475</xdr:colOff>
      <xdr:row>54</xdr:row>
      <xdr:rowOff>95250</xdr:rowOff>
    </xdr:to>
    <xdr:graphicFrame macro="">
      <xdr:nvGraphicFramePr>
        <xdr:cNvPr id="2133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5"/>
  <sheetViews>
    <sheetView tabSelected="1" workbookViewId="0">
      <selection activeCell="K15" sqref="K15"/>
    </sheetView>
  </sheetViews>
  <sheetFormatPr defaultRowHeight="12.75" x14ac:dyDescent="0.2"/>
  <cols>
    <col min="1" max="1" width="9.7109375" customWidth="1"/>
    <col min="2" max="2" width="17.7109375" customWidth="1"/>
    <col min="3" max="7" width="11" customWidth="1"/>
    <col min="8" max="8" width="11.42578125" customWidth="1"/>
    <col min="9" max="9" width="0.85546875" customWidth="1"/>
    <col min="11" max="11" width="11.42578125" bestFit="1" customWidth="1"/>
    <col min="12" max="12" width="12.140625" customWidth="1"/>
  </cols>
  <sheetData>
    <row r="1" spans="1:12" ht="17.25" x14ac:dyDescent="0.3">
      <c r="A1" s="2" t="s">
        <v>5</v>
      </c>
      <c r="B1" s="3"/>
      <c r="C1" s="3"/>
      <c r="D1" s="3"/>
      <c r="E1" s="3"/>
      <c r="F1" s="3"/>
      <c r="G1" s="3"/>
      <c r="H1" s="3"/>
    </row>
    <row r="2" spans="1:12" ht="14.25" x14ac:dyDescent="0.25">
      <c r="A2" s="41" t="s">
        <v>0</v>
      </c>
      <c r="B2" s="41"/>
      <c r="C2" s="41"/>
      <c r="D2" s="41"/>
      <c r="E2" s="41"/>
      <c r="F2" s="41"/>
      <c r="G2" s="41"/>
      <c r="H2" s="41"/>
    </row>
    <row r="3" spans="1:12" ht="17.25" x14ac:dyDescent="0.3">
      <c r="A3" s="44" t="s">
        <v>10</v>
      </c>
      <c r="B3" s="44"/>
      <c r="C3" s="44"/>
      <c r="D3" s="44"/>
      <c r="E3" s="44"/>
      <c r="F3" s="44"/>
      <c r="G3" s="44"/>
      <c r="H3" s="44"/>
    </row>
    <row r="4" spans="1:12" ht="17.25" x14ac:dyDescent="0.3">
      <c r="A4" s="4"/>
      <c r="B4" s="5"/>
      <c r="C4" s="5"/>
      <c r="D4" s="6"/>
      <c r="E4" s="6"/>
      <c r="F4" s="7"/>
      <c r="G4" s="8"/>
      <c r="H4" s="8"/>
    </row>
    <row r="5" spans="1:12" ht="14.25" thickBot="1" x14ac:dyDescent="0.3">
      <c r="A5" s="5"/>
      <c r="B5" s="5"/>
      <c r="C5" s="5"/>
      <c r="D5" s="5"/>
      <c r="E5" s="5"/>
      <c r="F5" s="5"/>
      <c r="G5" s="5"/>
      <c r="H5" s="5"/>
    </row>
    <row r="6" spans="1:12" ht="17.25" customHeight="1" thickTop="1" x14ac:dyDescent="0.3">
      <c r="A6" s="42" t="s">
        <v>1</v>
      </c>
      <c r="B6" s="43"/>
      <c r="C6" s="9" t="s">
        <v>2</v>
      </c>
      <c r="D6" s="10"/>
      <c r="E6" s="11" t="s">
        <v>3</v>
      </c>
      <c r="F6" s="11"/>
      <c r="G6" s="12" t="s">
        <v>4</v>
      </c>
      <c r="H6" s="13"/>
    </row>
    <row r="7" spans="1:12" ht="17.25" customHeight="1" thickBot="1" x14ac:dyDescent="0.3">
      <c r="A7" s="14"/>
      <c r="B7" s="15"/>
      <c r="C7" s="16" t="s">
        <v>9</v>
      </c>
      <c r="D7" s="17" t="s">
        <v>11</v>
      </c>
      <c r="E7" s="16" t="s">
        <v>9</v>
      </c>
      <c r="F7" s="17" t="s">
        <v>11</v>
      </c>
      <c r="G7" s="16" t="s">
        <v>9</v>
      </c>
      <c r="H7" s="17" t="s">
        <v>11</v>
      </c>
    </row>
    <row r="8" spans="1:12" s="1" customFormat="1" ht="6.75" thickTop="1" thickBot="1" x14ac:dyDescent="0.2">
      <c r="A8" s="18"/>
      <c r="B8" s="18"/>
      <c r="C8" s="19"/>
      <c r="D8" s="19"/>
      <c r="E8" s="19"/>
      <c r="F8" s="19"/>
      <c r="G8" s="20"/>
      <c r="H8" s="20"/>
    </row>
    <row r="9" spans="1:12" s="1" customFormat="1" ht="21.75" customHeight="1" thickBot="1" x14ac:dyDescent="0.25">
      <c r="A9" s="21" t="s">
        <v>6</v>
      </c>
      <c r="B9" s="27"/>
      <c r="C9" s="23">
        <v>1169355.5</v>
      </c>
      <c r="D9" s="28">
        <v>1168829</v>
      </c>
      <c r="E9" s="22">
        <v>2308891.6</v>
      </c>
      <c r="F9" s="24">
        <v>2340117.7000000002</v>
      </c>
      <c r="G9" s="22">
        <f t="shared" ref="G9:H11" si="0">C9+E9</f>
        <v>3478247.1</v>
      </c>
      <c r="H9" s="22">
        <f t="shared" si="0"/>
        <v>3508946.7</v>
      </c>
      <c r="K9" s="33"/>
      <c r="L9" s="33"/>
    </row>
    <row r="10" spans="1:12" ht="24.75" customHeight="1" x14ac:dyDescent="0.2">
      <c r="A10" s="32"/>
      <c r="B10" s="29" t="s">
        <v>7</v>
      </c>
      <c r="C10" s="38">
        <v>301062.90000000002</v>
      </c>
      <c r="D10" s="39">
        <v>321291.90000000002</v>
      </c>
      <c r="E10" s="25">
        <v>687796.6</v>
      </c>
      <c r="F10" s="25">
        <v>726246.6</v>
      </c>
      <c r="G10" s="34">
        <f t="shared" si="0"/>
        <v>988859.5</v>
      </c>
      <c r="H10" s="35">
        <f t="shared" si="0"/>
        <v>1047538.5</v>
      </c>
    </row>
    <row r="11" spans="1:12" ht="24.75" customHeight="1" thickBot="1" x14ac:dyDescent="0.25">
      <c r="A11" s="31"/>
      <c r="B11" s="30" t="s">
        <v>8</v>
      </c>
      <c r="C11" s="40">
        <f>C9-C10</f>
        <v>868292.6</v>
      </c>
      <c r="D11" s="26">
        <f>D9-D10</f>
        <v>847537.1</v>
      </c>
      <c r="E11" s="40">
        <f>E9-E10</f>
        <v>1621095</v>
      </c>
      <c r="F11" s="26">
        <f>F9-F10</f>
        <v>1613871.1</v>
      </c>
      <c r="G11" s="36">
        <f t="shared" si="0"/>
        <v>2489387.6</v>
      </c>
      <c r="H11" s="37">
        <f t="shared" si="0"/>
        <v>2461408.2000000002</v>
      </c>
    </row>
    <row r="12" spans="1:12" ht="13.5" x14ac:dyDescent="0.25">
      <c r="A12" s="5"/>
      <c r="B12" s="5"/>
      <c r="C12" s="5"/>
      <c r="D12" s="5"/>
      <c r="E12" s="5"/>
      <c r="F12" s="5"/>
      <c r="G12" s="5"/>
      <c r="H12" s="5"/>
    </row>
    <row r="13" spans="1:12" ht="13.5" x14ac:dyDescent="0.25">
      <c r="A13" s="5"/>
      <c r="B13" s="5"/>
      <c r="C13" s="5"/>
      <c r="D13" s="5"/>
      <c r="E13" s="5"/>
      <c r="F13" s="5"/>
      <c r="G13" s="5"/>
      <c r="H13" s="5"/>
    </row>
    <row r="14" spans="1:12" ht="13.5" x14ac:dyDescent="0.25">
      <c r="A14" s="5"/>
      <c r="B14" s="5"/>
      <c r="C14" s="5"/>
      <c r="D14" s="5"/>
      <c r="E14" s="5"/>
      <c r="F14" s="5"/>
      <c r="G14" s="5"/>
      <c r="H14" s="5"/>
    </row>
    <row r="15" spans="1:12" ht="13.5" x14ac:dyDescent="0.25">
      <c r="A15" s="5"/>
      <c r="B15" s="5"/>
      <c r="C15" s="5"/>
      <c r="D15" s="5"/>
      <c r="E15" s="5"/>
      <c r="F15" s="5"/>
      <c r="G15" s="5"/>
      <c r="H15" s="5"/>
    </row>
    <row r="16" spans="1:12" ht="13.5" x14ac:dyDescent="0.25">
      <c r="A16" s="5"/>
      <c r="B16" s="5"/>
      <c r="C16" s="5"/>
      <c r="D16" s="5"/>
      <c r="E16" s="5"/>
      <c r="F16" s="5"/>
      <c r="G16" s="5"/>
      <c r="H16" s="5"/>
    </row>
    <row r="17" spans="1:8" ht="13.5" x14ac:dyDescent="0.25">
      <c r="A17" s="5"/>
      <c r="B17" s="5"/>
      <c r="C17" s="5"/>
      <c r="D17" s="5"/>
      <c r="E17" s="5"/>
      <c r="F17" s="5"/>
      <c r="G17" s="5"/>
      <c r="H17" s="5"/>
    </row>
    <row r="18" spans="1:8" ht="13.5" x14ac:dyDescent="0.25">
      <c r="A18" s="5"/>
      <c r="B18" s="5"/>
      <c r="C18" s="5"/>
      <c r="D18" s="5"/>
      <c r="E18" s="5"/>
      <c r="F18" s="5"/>
      <c r="G18" s="5"/>
      <c r="H18" s="5"/>
    </row>
    <row r="19" spans="1:8" ht="13.5" x14ac:dyDescent="0.25">
      <c r="A19" s="5"/>
      <c r="B19" s="5"/>
      <c r="C19" s="5"/>
      <c r="D19" s="5"/>
      <c r="E19" s="5"/>
      <c r="F19" s="5"/>
      <c r="G19" s="5"/>
      <c r="H19" s="5"/>
    </row>
    <row r="20" spans="1:8" ht="13.5" x14ac:dyDescent="0.25">
      <c r="A20" s="5"/>
      <c r="B20" s="5"/>
      <c r="C20" s="5"/>
      <c r="D20" s="5"/>
      <c r="E20" s="5"/>
      <c r="F20" s="5"/>
      <c r="G20" s="5"/>
      <c r="H20" s="5"/>
    </row>
    <row r="21" spans="1:8" ht="13.5" x14ac:dyDescent="0.25">
      <c r="A21" s="5"/>
      <c r="B21" s="5"/>
      <c r="C21" s="5"/>
      <c r="D21" s="5"/>
      <c r="E21" s="5"/>
      <c r="F21" s="5"/>
      <c r="G21" s="5"/>
      <c r="H21" s="5"/>
    </row>
    <row r="22" spans="1:8" ht="13.5" x14ac:dyDescent="0.25">
      <c r="A22" s="5"/>
      <c r="B22" s="5"/>
      <c r="C22" s="5"/>
      <c r="D22" s="5"/>
      <c r="E22" s="5"/>
      <c r="F22" s="5"/>
      <c r="G22" s="5"/>
      <c r="H22" s="5"/>
    </row>
    <row r="23" spans="1:8" ht="13.5" x14ac:dyDescent="0.25">
      <c r="A23" s="5"/>
      <c r="B23" s="5"/>
      <c r="C23" s="5"/>
      <c r="D23" s="5"/>
      <c r="E23" s="5"/>
      <c r="F23" s="5"/>
      <c r="G23" s="5"/>
      <c r="H23" s="5"/>
    </row>
    <row r="24" spans="1:8" ht="13.5" x14ac:dyDescent="0.25">
      <c r="A24" s="5"/>
      <c r="B24" s="5"/>
      <c r="C24" s="5"/>
      <c r="D24" s="5"/>
      <c r="E24" s="5"/>
      <c r="F24" s="5"/>
      <c r="G24" s="5"/>
      <c r="H24" s="5"/>
    </row>
    <row r="25" spans="1:8" ht="13.5" x14ac:dyDescent="0.25">
      <c r="A25" s="5"/>
      <c r="B25" s="5"/>
      <c r="C25" s="5"/>
      <c r="D25" s="5"/>
      <c r="E25" s="5"/>
      <c r="F25" s="5"/>
      <c r="G25" s="5"/>
      <c r="H25" s="5"/>
    </row>
    <row r="26" spans="1:8" ht="13.5" x14ac:dyDescent="0.25">
      <c r="A26" s="5"/>
      <c r="B26" s="5"/>
      <c r="C26" s="5"/>
      <c r="D26" s="5"/>
      <c r="E26" s="5"/>
      <c r="F26" s="5"/>
      <c r="G26" s="5"/>
      <c r="H26" s="5"/>
    </row>
    <row r="27" spans="1:8" ht="13.5" x14ac:dyDescent="0.25">
      <c r="A27" s="5"/>
      <c r="B27" s="5"/>
      <c r="C27" s="5"/>
      <c r="D27" s="5"/>
      <c r="E27" s="5"/>
      <c r="F27" s="5"/>
      <c r="G27" s="5"/>
      <c r="H27" s="5"/>
    </row>
    <row r="28" spans="1:8" ht="13.5" x14ac:dyDescent="0.25">
      <c r="A28" s="5"/>
      <c r="B28" s="5"/>
      <c r="C28" s="5"/>
      <c r="D28" s="5"/>
      <c r="E28" s="5"/>
      <c r="F28" s="5"/>
      <c r="G28" s="5"/>
      <c r="H28" s="5"/>
    </row>
    <row r="29" spans="1:8" ht="13.5" x14ac:dyDescent="0.25">
      <c r="A29" s="5"/>
      <c r="B29" s="5"/>
      <c r="C29" s="5"/>
      <c r="D29" s="5"/>
      <c r="E29" s="5"/>
      <c r="F29" s="5"/>
      <c r="G29" s="5"/>
      <c r="H29" s="5"/>
    </row>
    <row r="30" spans="1:8" ht="13.5" x14ac:dyDescent="0.25">
      <c r="A30" s="5"/>
      <c r="B30" s="5"/>
      <c r="C30" s="5"/>
      <c r="D30" s="5"/>
      <c r="E30" s="5"/>
      <c r="F30" s="5"/>
      <c r="G30" s="5"/>
      <c r="H30" s="5"/>
    </row>
    <row r="31" spans="1:8" ht="13.5" x14ac:dyDescent="0.25">
      <c r="A31" s="5"/>
      <c r="B31" s="5"/>
      <c r="C31" s="5"/>
      <c r="D31" s="5"/>
      <c r="E31" s="5"/>
      <c r="F31" s="5"/>
      <c r="G31" s="5"/>
      <c r="H31" s="5"/>
    </row>
    <row r="32" spans="1:8" ht="13.5" x14ac:dyDescent="0.25">
      <c r="A32" s="5"/>
      <c r="B32" s="5"/>
      <c r="C32" s="5"/>
      <c r="D32" s="5"/>
      <c r="E32" s="5"/>
      <c r="F32" s="5"/>
      <c r="G32" s="5"/>
      <c r="H32" s="5"/>
    </row>
    <row r="33" spans="1:8" ht="13.5" x14ac:dyDescent="0.25">
      <c r="A33" s="5"/>
      <c r="B33" s="5"/>
      <c r="C33" s="5"/>
      <c r="D33" s="5"/>
      <c r="E33" s="5"/>
      <c r="F33" s="5"/>
      <c r="G33" s="5"/>
      <c r="H33" s="5"/>
    </row>
    <row r="34" spans="1:8" ht="13.5" x14ac:dyDescent="0.25">
      <c r="A34" s="5"/>
      <c r="B34" s="5"/>
      <c r="C34" s="5"/>
      <c r="D34" s="5"/>
      <c r="E34" s="5"/>
      <c r="F34" s="5"/>
      <c r="G34" s="5"/>
      <c r="H34" s="5"/>
    </row>
    <row r="35" spans="1:8" ht="13.5" x14ac:dyDescent="0.25">
      <c r="A35" s="5"/>
      <c r="B35" s="5"/>
      <c r="C35" s="5"/>
      <c r="D35" s="5"/>
      <c r="E35" s="5"/>
      <c r="F35" s="5"/>
      <c r="G35" s="5"/>
      <c r="H35" s="5"/>
    </row>
    <row r="36" spans="1:8" ht="13.5" x14ac:dyDescent="0.25">
      <c r="A36" s="5"/>
      <c r="B36" s="5"/>
      <c r="C36" s="5"/>
      <c r="D36" s="5"/>
      <c r="E36" s="5"/>
      <c r="F36" s="5"/>
      <c r="G36" s="5"/>
      <c r="H36" s="5"/>
    </row>
    <row r="37" spans="1:8" ht="13.5" x14ac:dyDescent="0.25">
      <c r="A37" s="5"/>
      <c r="B37" s="5"/>
      <c r="C37" s="5"/>
      <c r="D37" s="5"/>
      <c r="E37" s="5"/>
      <c r="F37" s="5"/>
      <c r="G37" s="5"/>
      <c r="H37" s="5"/>
    </row>
    <row r="38" spans="1:8" ht="13.5" x14ac:dyDescent="0.25">
      <c r="A38" s="5"/>
      <c r="B38" s="5"/>
      <c r="C38" s="5"/>
      <c r="D38" s="5"/>
      <c r="E38" s="5"/>
      <c r="F38" s="5"/>
      <c r="G38" s="5"/>
      <c r="H38" s="5"/>
    </row>
    <row r="39" spans="1:8" ht="13.5" x14ac:dyDescent="0.25">
      <c r="A39" s="5"/>
      <c r="B39" s="5"/>
      <c r="C39" s="5"/>
      <c r="D39" s="5"/>
      <c r="E39" s="5"/>
      <c r="F39" s="5"/>
      <c r="G39" s="5"/>
      <c r="H39" s="5"/>
    </row>
    <row r="40" spans="1:8" ht="13.5" x14ac:dyDescent="0.25">
      <c r="A40" s="5"/>
      <c r="B40" s="5"/>
      <c r="C40" s="5"/>
      <c r="D40" s="5"/>
      <c r="E40" s="5"/>
      <c r="F40" s="5"/>
      <c r="G40" s="5"/>
      <c r="H40" s="5"/>
    </row>
    <row r="41" spans="1:8" ht="13.5" x14ac:dyDescent="0.25">
      <c r="A41" s="5"/>
      <c r="B41" s="5"/>
      <c r="C41" s="5"/>
      <c r="D41" s="5"/>
      <c r="E41" s="5"/>
      <c r="F41" s="5"/>
      <c r="G41" s="5"/>
      <c r="H41" s="5"/>
    </row>
    <row r="42" spans="1:8" ht="13.5" x14ac:dyDescent="0.25">
      <c r="A42" s="5"/>
      <c r="B42" s="5"/>
      <c r="C42" s="5"/>
      <c r="D42" s="5"/>
      <c r="E42" s="5"/>
      <c r="F42" s="5"/>
      <c r="G42" s="5"/>
      <c r="H42" s="5"/>
    </row>
    <row r="43" spans="1:8" ht="13.5" x14ac:dyDescent="0.25">
      <c r="A43" s="5"/>
      <c r="B43" s="5"/>
      <c r="C43" s="5"/>
      <c r="D43" s="5"/>
      <c r="E43" s="5"/>
      <c r="F43" s="5"/>
      <c r="G43" s="5"/>
      <c r="H43" s="5"/>
    </row>
    <row r="44" spans="1:8" ht="13.5" x14ac:dyDescent="0.25">
      <c r="A44" s="5"/>
      <c r="B44" s="5"/>
      <c r="C44" s="5"/>
      <c r="D44" s="5"/>
      <c r="E44" s="5"/>
      <c r="F44" s="5"/>
      <c r="G44" s="5"/>
      <c r="H44" s="5"/>
    </row>
    <row r="45" spans="1:8" ht="13.5" x14ac:dyDescent="0.25">
      <c r="A45" s="5"/>
      <c r="B45" s="5"/>
      <c r="C45" s="5"/>
      <c r="D45" s="5"/>
      <c r="E45" s="5"/>
      <c r="F45" s="5"/>
      <c r="G45" s="5"/>
      <c r="H45" s="5"/>
    </row>
    <row r="46" spans="1:8" ht="13.5" x14ac:dyDescent="0.25">
      <c r="A46" s="5"/>
      <c r="B46" s="5"/>
      <c r="C46" s="5"/>
      <c r="D46" s="5"/>
      <c r="E46" s="5"/>
      <c r="F46" s="5"/>
      <c r="G46" s="5"/>
      <c r="H46" s="5"/>
    </row>
    <row r="47" spans="1:8" ht="13.5" x14ac:dyDescent="0.25">
      <c r="A47" s="5"/>
      <c r="B47" s="5"/>
      <c r="C47" s="5"/>
      <c r="D47" s="5"/>
      <c r="E47" s="5"/>
      <c r="F47" s="5"/>
      <c r="G47" s="5"/>
      <c r="H47" s="5"/>
    </row>
    <row r="48" spans="1:8" ht="13.5" x14ac:dyDescent="0.25">
      <c r="A48" s="5"/>
      <c r="B48" s="5"/>
      <c r="C48" s="5"/>
      <c r="D48" s="5"/>
      <c r="E48" s="5"/>
      <c r="F48" s="5"/>
      <c r="G48" s="5"/>
      <c r="H48" s="5"/>
    </row>
    <row r="49" spans="1:8" ht="13.5" x14ac:dyDescent="0.25">
      <c r="A49" s="5"/>
      <c r="B49" s="5"/>
      <c r="C49" s="5"/>
      <c r="D49" s="5"/>
      <c r="E49" s="5"/>
      <c r="F49" s="5"/>
      <c r="G49" s="5"/>
      <c r="H49" s="5"/>
    </row>
    <row r="50" spans="1:8" ht="13.5" x14ac:dyDescent="0.25">
      <c r="A50" s="5"/>
      <c r="B50" s="5"/>
      <c r="C50" s="5"/>
      <c r="D50" s="5"/>
      <c r="E50" s="5"/>
      <c r="F50" s="5"/>
      <c r="G50" s="5"/>
      <c r="H50" s="5"/>
    </row>
    <row r="51" spans="1:8" ht="13.5" x14ac:dyDescent="0.25">
      <c r="A51" s="5"/>
      <c r="B51" s="5"/>
      <c r="C51" s="5"/>
      <c r="D51" s="5"/>
      <c r="E51" s="5"/>
      <c r="F51" s="5"/>
      <c r="G51" s="5"/>
      <c r="H51" s="5"/>
    </row>
    <row r="52" spans="1:8" ht="13.5" x14ac:dyDescent="0.25">
      <c r="A52" s="5"/>
      <c r="B52" s="5"/>
      <c r="C52" s="5"/>
      <c r="D52" s="5"/>
      <c r="E52" s="5"/>
      <c r="F52" s="5"/>
      <c r="G52" s="5"/>
      <c r="H52" s="5"/>
    </row>
    <row r="53" spans="1:8" ht="13.5" x14ac:dyDescent="0.25">
      <c r="A53" s="5"/>
      <c r="B53" s="5"/>
      <c r="C53" s="5"/>
      <c r="D53" s="5"/>
      <c r="E53" s="5"/>
      <c r="F53" s="5"/>
      <c r="G53" s="5"/>
      <c r="H53" s="5"/>
    </row>
    <row r="54" spans="1:8" ht="13.5" x14ac:dyDescent="0.25">
      <c r="A54" s="5"/>
      <c r="B54" s="5"/>
      <c r="C54" s="5"/>
      <c r="D54" s="5"/>
      <c r="E54" s="5"/>
      <c r="F54" s="5"/>
      <c r="G54" s="5"/>
      <c r="H54" s="5"/>
    </row>
    <row r="55" spans="1:8" ht="13.5" x14ac:dyDescent="0.25">
      <c r="A55" s="5"/>
      <c r="B55" s="5"/>
      <c r="C55" s="5"/>
      <c r="D55" s="5"/>
      <c r="E55" s="5"/>
      <c r="F55" s="5"/>
      <c r="G55" s="5"/>
      <c r="H55" s="5"/>
    </row>
  </sheetData>
  <mergeCells count="3">
    <mergeCell ref="A2:H2"/>
    <mergeCell ref="A6:B6"/>
    <mergeCell ref="A3:H3"/>
  </mergeCells>
  <phoneticPr fontId="1" type="noConversion"/>
  <pageMargins left="0.73" right="0.2" top="0.44" bottom="0.5" header="0.28000000000000003" footer="0.27"/>
  <pageSetup paperSize="9" firstPageNumber="2" orientation="portrait" useFirstPageNumber="1" r:id="rId1"/>
  <headerFooter alignWithMargins="0">
    <oddHeader>&amp;R&amp;8&amp;U¶ñ³ýÇÏ 1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Vladimir Safaryan S.</cp:lastModifiedBy>
  <cp:lastPrinted>2018-11-13T07:22:18Z</cp:lastPrinted>
  <dcterms:created xsi:type="dcterms:W3CDTF">2001-03-30T11:12:39Z</dcterms:created>
  <dcterms:modified xsi:type="dcterms:W3CDTF">2019-08-15T10:24:58Z</dcterms:modified>
</cp:coreProperties>
</file>