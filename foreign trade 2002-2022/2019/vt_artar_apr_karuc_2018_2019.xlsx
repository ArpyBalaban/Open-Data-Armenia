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en_movsesyan.CUSTOMS\Desktop\girq\"/>
    </mc:Choice>
  </mc:AlternateContent>
  <bookViews>
    <workbookView xWindow="6420" yWindow="105" windowWidth="6480" windowHeight="3810"/>
  </bookViews>
  <sheets>
    <sheet name="gr7" sheetId="18" r:id="rId1"/>
  </sheets>
  <definedNames>
    <definedName name="_xlnm._FilterDatabase" localSheetId="0" hidden="1">'gr7'!#REF!</definedName>
  </definedNames>
  <calcPr calcId="152511"/>
</workbook>
</file>

<file path=xl/calcChain.xml><?xml version="1.0" encoding="utf-8"?>
<calcChain xmlns="http://schemas.openxmlformats.org/spreadsheetml/2006/main">
  <c r="F22" i="18" l="1"/>
  <c r="G12" i="18"/>
  <c r="J22" i="18"/>
  <c r="K18" i="18"/>
  <c r="H22" i="18"/>
  <c r="I19" i="18"/>
  <c r="D22" i="18"/>
  <c r="E21" i="18"/>
  <c r="I20" i="18"/>
  <c r="E18" i="18"/>
  <c r="K14" i="18"/>
  <c r="K13" i="18"/>
  <c r="K12" i="18"/>
  <c r="K20" i="18"/>
  <c r="I17" i="18"/>
  <c r="I15" i="18"/>
  <c r="I18" i="18"/>
  <c r="I21" i="18"/>
  <c r="I13" i="18"/>
  <c r="I16" i="18"/>
  <c r="I11" i="18"/>
  <c r="I10" i="18"/>
  <c r="I14" i="18"/>
  <c r="I9" i="18"/>
  <c r="I8" i="18"/>
  <c r="E16" i="18"/>
  <c r="E20" i="18"/>
  <c r="E10" i="18"/>
  <c r="E13" i="18"/>
  <c r="E17" i="18"/>
  <c r="E11" i="18"/>
  <c r="K21" i="18"/>
  <c r="K9" i="18"/>
  <c r="K16" i="18"/>
  <c r="K8" i="18"/>
  <c r="K19" i="18"/>
  <c r="K17" i="18"/>
  <c r="K10" i="18"/>
  <c r="K11" i="18"/>
  <c r="K15" i="18"/>
  <c r="I12" i="18"/>
  <c r="G18" i="18"/>
  <c r="G21" i="18"/>
  <c r="G20" i="18"/>
  <c r="G11" i="18"/>
  <c r="G14" i="18"/>
  <c r="G13" i="18"/>
  <c r="G16" i="18"/>
  <c r="G19" i="18"/>
  <c r="G15" i="18"/>
  <c r="G17" i="18"/>
  <c r="G10" i="18"/>
  <c r="G9" i="18"/>
  <c r="G8" i="18"/>
  <c r="E19" i="18"/>
  <c r="E9" i="18"/>
  <c r="E14" i="18"/>
  <c r="E8" i="18"/>
  <c r="E15" i="18"/>
  <c r="E12" i="18"/>
</calcChain>
</file>

<file path=xl/sharedStrings.xml><?xml version="1.0" encoding="utf-8"?>
<sst xmlns="http://schemas.openxmlformats.org/spreadsheetml/2006/main" count="56" uniqueCount="51">
  <si>
    <t>25-27</t>
  </si>
  <si>
    <t>41-43</t>
  </si>
  <si>
    <t>68-70</t>
  </si>
  <si>
    <t>71</t>
  </si>
  <si>
    <t>72-83</t>
  </si>
  <si>
    <t>1.</t>
  </si>
  <si>
    <t>01-24</t>
  </si>
  <si>
    <t>22</t>
  </si>
  <si>
    <t>24</t>
  </si>
  <si>
    <t>2.</t>
  </si>
  <si>
    <t>27</t>
  </si>
  <si>
    <t>3.</t>
  </si>
  <si>
    <t>28-40</t>
  </si>
  <si>
    <t>4.</t>
  </si>
  <si>
    <t>5.</t>
  </si>
  <si>
    <t>44-49</t>
  </si>
  <si>
    <t>6.</t>
  </si>
  <si>
    <t>50-67</t>
  </si>
  <si>
    <t>7.</t>
  </si>
  <si>
    <t>8.</t>
  </si>
  <si>
    <t>9.</t>
  </si>
  <si>
    <t>10.</t>
  </si>
  <si>
    <t>84-89</t>
  </si>
  <si>
    <t>11.</t>
  </si>
  <si>
    <t>90-97</t>
  </si>
  <si>
    <t>ԱՐՏԱՀԱՆՈՒՄ</t>
  </si>
  <si>
    <t>ՆԵՐՄՈՒԾՈՒՄ</t>
  </si>
  <si>
    <t>ԸՆԴԱՄԵՆԸ</t>
  </si>
  <si>
    <t>(մլն. ԱՄՆ դոլար)</t>
  </si>
  <si>
    <t>Հ/հ</t>
  </si>
  <si>
    <t xml:space="preserve">Խմբերի </t>
  </si>
  <si>
    <t>Ապրանքի անվանումը</t>
  </si>
  <si>
    <t>կոդը</t>
  </si>
  <si>
    <t xml:space="preserve">%-ը </t>
  </si>
  <si>
    <t>Սննդեղեն, գյուղ. հումք</t>
  </si>
  <si>
    <t>Ալկոհոլային, ոչ ալկ. խմիչքներ</t>
  </si>
  <si>
    <t>Ծխախոտ և հումք</t>
  </si>
  <si>
    <t>Հանքանյութեր</t>
  </si>
  <si>
    <t>Վառելիքա-էներգետիկ ապր-ր</t>
  </si>
  <si>
    <t>Քիմիական արտադրանք, կաուչուկ</t>
  </si>
  <si>
    <t>Մորթի, կաշի, արտադրանք</t>
  </si>
  <si>
    <t>Փայտեղեն և թղթե արտադրանք</t>
  </si>
  <si>
    <t>Տեքստիլ, կոշկեղեն</t>
  </si>
  <si>
    <t>Քարե,գիպսե արտադրանք, կերամիկա, ապակի</t>
  </si>
  <si>
    <t>Թանկ. քարեր, մետաղներ</t>
  </si>
  <si>
    <t>Մետաղներ և արտադրանք</t>
  </si>
  <si>
    <t>Մեքենաներ, սարքավ-ներ, փոխադրամիջոցներ</t>
  </si>
  <si>
    <t>Այլ ապրանքներ</t>
  </si>
  <si>
    <t>ՀՀ արտաքին և փոխադարձ առեւտրի ապրանքային կառուցվածքը</t>
  </si>
  <si>
    <t>2018թ.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</si>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</sst>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6" formatCode="0.0%"/>
  </numFmts>
  <fonts count="15" x14ac:knownFonts="1">
    <font>
      <sz val="10"/>
      <name val="Arial Armenian"/>
    </font>
    <font>
      <b/>
      <sz val="11"/>
      <name val="Arial Armenian"/>
    </font>
    <font>
      <sz val="8"/>
      <name val="Arial Armenian"/>
    </font>
    <font>
      <sz val="2"/>
      <name val="Arial Armenian"/>
      <family val="2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sz val="8"/>
      <name val="GHEA Grapalat"/>
      <family val="3"/>
    </font>
    <font>
      <sz val="11"/>
      <name val="GHEA Grapalat"/>
      <family val="3"/>
    </font>
    <font>
      <sz val="2"/>
      <name val="GHEA Grapalat"/>
      <family val="3"/>
    </font>
    <font>
      <b/>
      <sz val="14"/>
      <name val="GHEA Grapalat"/>
      <family val="3"/>
    </font>
    <font>
      <i/>
      <sz val="10"/>
      <name val="GHEA Grapalat"/>
      <family val="3"/>
    </font>
    <font>
      <sz val="9"/>
      <name val="GHEA Grapalat"/>
      <family val="3"/>
    </font>
    <font>
      <i/>
      <sz val="8"/>
      <name val="GHEA Grapalat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49" fontId="1" fillId="0" borderId="1" xfId="0" applyNumberFormat="1" applyFont="1" applyBorder="1" applyAlignment="1">
      <alignment horizontal="centerContinuous" vertical="center" wrapText="1"/>
    </xf>
    <xf numFmtId="0" fontId="4" fillId="0" borderId="0" xfId="0" applyFont="1" applyAlignment="1">
      <alignment horizontal="center"/>
    </xf>
    <xf numFmtId="0" fontId="10" fillId="2" borderId="0" xfId="0" applyFont="1" applyFill="1"/>
    <xf numFmtId="0" fontId="7" fillId="0" borderId="3" xfId="0" applyFont="1" applyBorder="1" applyAlignment="1">
      <alignment horizontal="center" vertical="center"/>
    </xf>
    <xf numFmtId="0" fontId="5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0" fontId="13" fillId="0" borderId="11" xfId="0" applyFont="1" applyBorder="1"/>
    <xf numFmtId="49" fontId="7" fillId="0" borderId="12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/>
    <xf numFmtId="49" fontId="7" fillId="0" borderId="15" xfId="0" applyNumberFormat="1" applyFont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0" fontId="9" fillId="0" borderId="17" xfId="0" applyFont="1" applyBorder="1"/>
    <xf numFmtId="49" fontId="7" fillId="0" borderId="18" xfId="0" applyNumberFormat="1" applyFont="1" applyBorder="1" applyAlignment="1">
      <alignment vertical="center" wrapText="1"/>
    </xf>
    <xf numFmtId="49" fontId="9" fillId="0" borderId="19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5" fillId="0" borderId="20" xfId="0" applyFont="1" applyBorder="1" applyAlignment="1">
      <alignment vertical="top" wrapText="1"/>
    </xf>
    <xf numFmtId="0" fontId="5" fillId="0" borderId="21" xfId="0" applyFont="1" applyBorder="1"/>
    <xf numFmtId="0" fontId="9" fillId="0" borderId="22" xfId="0" applyFont="1" applyBorder="1" applyAlignment="1">
      <alignment horizontal="centerContinuous" vertical="center" wrapText="1"/>
    </xf>
    <xf numFmtId="0" fontId="9" fillId="0" borderId="23" xfId="0" applyFont="1" applyBorder="1" applyAlignment="1">
      <alignment horizontal="centerContinuous" vertical="center" wrapText="1"/>
    </xf>
    <xf numFmtId="3" fontId="6" fillId="0" borderId="5" xfId="0" applyNumberFormat="1" applyFont="1" applyBorder="1" applyAlignment="1">
      <alignment vertical="center"/>
    </xf>
    <xf numFmtId="3" fontId="12" fillId="3" borderId="6" xfId="0" applyNumberFormat="1" applyFont="1" applyFill="1" applyBorder="1" applyAlignment="1">
      <alignment vertical="center"/>
    </xf>
    <xf numFmtId="3" fontId="12" fillId="3" borderId="2" xfId="0" applyNumberFormat="1" applyFont="1" applyFill="1" applyBorder="1" applyAlignment="1">
      <alignment vertical="center"/>
    </xf>
    <xf numFmtId="166" fontId="12" fillId="3" borderId="2" xfId="0" applyNumberFormat="1" applyFont="1" applyFill="1" applyBorder="1" applyAlignment="1">
      <alignment vertical="center"/>
    </xf>
    <xf numFmtId="164" fontId="5" fillId="0" borderId="7" xfId="0" applyNumberFormat="1" applyFont="1" applyBorder="1" applyAlignment="1">
      <alignment vertical="center"/>
    </xf>
    <xf numFmtId="166" fontId="12" fillId="3" borderId="8" xfId="0" applyNumberFormat="1" applyFont="1" applyFill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166" fontId="12" fillId="3" borderId="21" xfId="0" applyNumberFormat="1" applyFont="1" applyFill="1" applyBorder="1" applyAlignment="1">
      <alignment vertical="center"/>
    </xf>
    <xf numFmtId="164" fontId="8" fillId="0" borderId="9" xfId="0" applyNumberFormat="1" applyFont="1" applyBorder="1" applyAlignment="1">
      <alignment vertical="center"/>
    </xf>
    <xf numFmtId="166" fontId="14" fillId="3" borderId="10" xfId="0" applyNumberFormat="1" applyFont="1" applyFill="1" applyBorder="1" applyAlignment="1">
      <alignment vertical="center"/>
    </xf>
    <xf numFmtId="164" fontId="8" fillId="0" borderId="10" xfId="0" applyNumberFormat="1" applyFont="1" applyBorder="1" applyAlignment="1">
      <alignment vertical="center"/>
    </xf>
    <xf numFmtId="166" fontId="14" fillId="3" borderId="11" xfId="0" applyNumberFormat="1" applyFont="1" applyFill="1" applyBorder="1" applyAlignment="1">
      <alignment vertical="center"/>
    </xf>
    <xf numFmtId="164" fontId="5" fillId="0" borderId="15" xfId="0" applyNumberFormat="1" applyFont="1" applyBorder="1" applyAlignment="1">
      <alignment vertical="center"/>
    </xf>
    <xf numFmtId="166" fontId="12" fillId="3" borderId="16" xfId="0" applyNumberFormat="1" applyFont="1" applyFill="1" applyBorder="1" applyAlignment="1">
      <alignment vertical="center"/>
    </xf>
    <xf numFmtId="164" fontId="5" fillId="0" borderId="16" xfId="0" applyNumberFormat="1" applyFont="1" applyBorder="1" applyAlignment="1">
      <alignment vertical="center"/>
    </xf>
    <xf numFmtId="166" fontId="12" fillId="3" borderId="17" xfId="0" applyNumberFormat="1" applyFont="1" applyFill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6" fontId="14" fillId="3" borderId="13" xfId="0" applyNumberFormat="1" applyFont="1" applyFill="1" applyBorder="1" applyAlignment="1">
      <alignment vertical="center"/>
    </xf>
    <xf numFmtId="164" fontId="5" fillId="0" borderId="13" xfId="0" applyNumberFormat="1" applyFont="1" applyBorder="1" applyAlignment="1">
      <alignment vertical="center"/>
    </xf>
    <xf numFmtId="166" fontId="14" fillId="3" borderId="14" xfId="0" applyNumberFormat="1" applyFont="1" applyFill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164" fontId="8" fillId="0" borderId="13" xfId="0" applyNumberFormat="1" applyFont="1" applyBorder="1" applyAlignment="1">
      <alignment vertical="center"/>
    </xf>
    <xf numFmtId="164" fontId="5" fillId="0" borderId="18" xfId="0" applyNumberFormat="1" applyFont="1" applyBorder="1" applyAlignment="1">
      <alignment vertical="center"/>
    </xf>
    <xf numFmtId="166" fontId="12" fillId="3" borderId="19" xfId="0" applyNumberFormat="1" applyFont="1" applyFill="1" applyBorder="1" applyAlignment="1">
      <alignment vertical="center"/>
    </xf>
    <xf numFmtId="164" fontId="5" fillId="0" borderId="19" xfId="0" applyNumberFormat="1" applyFont="1" applyBorder="1" applyAlignment="1">
      <alignment vertical="center"/>
    </xf>
    <xf numFmtId="166" fontId="12" fillId="3" borderId="20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11" fillId="0" borderId="0" xfId="0" quotePrefix="1" applyFont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41052631578947368"/>
          <c:y val="3.816793893129771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0225563909774431E-2"/>
          <c:y val="0.12977123421702463"/>
          <c:w val="0.90375939849624065"/>
          <c:h val="0.7442761962447002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'gr7'!$D$6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('gr7'!$B$8,'gr7'!$B$11,'gr7'!$B$13:$B$21)</c:f>
              <c:strCache>
                <c:ptCount val="11"/>
                <c:pt idx="0">
                  <c:v>01-24</c:v>
                </c:pt>
                <c:pt idx="1">
                  <c:v>25-27</c:v>
                </c:pt>
                <c:pt idx="2">
                  <c:v>28-40</c:v>
                </c:pt>
                <c:pt idx="3">
                  <c:v>41-43</c:v>
                </c:pt>
                <c:pt idx="4">
                  <c:v>44-49</c:v>
                </c:pt>
                <c:pt idx="5">
                  <c:v>50-67</c:v>
                </c:pt>
                <c:pt idx="6">
                  <c:v>68-70</c:v>
                </c:pt>
                <c:pt idx="7">
                  <c:v>71</c:v>
                </c:pt>
                <c:pt idx="8">
                  <c:v>72-83</c:v>
                </c:pt>
                <c:pt idx="9">
                  <c:v>84-89</c:v>
                </c:pt>
                <c:pt idx="10">
                  <c:v>90-97</c:v>
                </c:pt>
              </c:strCache>
            </c:strRef>
          </c:cat>
          <c:val>
            <c:numRef>
              <c:f>('gr7'!$D$8,'gr7'!$D$11,'gr7'!$D$13:$D$21)</c:f>
              <c:numCache>
                <c:formatCode>0.0</c:formatCode>
                <c:ptCount val="11"/>
                <c:pt idx="0">
                  <c:v>684.70569999999998</c:v>
                </c:pt>
                <c:pt idx="1">
                  <c:v>659.60440000000006</c:v>
                </c:pt>
                <c:pt idx="2">
                  <c:v>42.971699999999998</c:v>
                </c:pt>
                <c:pt idx="3">
                  <c:v>13.7219</c:v>
                </c:pt>
                <c:pt idx="4">
                  <c:v>3.2768000000000002</c:v>
                </c:pt>
                <c:pt idx="5">
                  <c:v>229.7953</c:v>
                </c:pt>
                <c:pt idx="6">
                  <c:v>24.220500000000001</c:v>
                </c:pt>
                <c:pt idx="7">
                  <c:v>306.19940000000003</c:v>
                </c:pt>
                <c:pt idx="8">
                  <c:v>296.60989999999998</c:v>
                </c:pt>
                <c:pt idx="9">
                  <c:v>69.332099999999997</c:v>
                </c:pt>
                <c:pt idx="10">
                  <c:v>76.474199999999996</c:v>
                </c:pt>
              </c:numCache>
            </c:numRef>
          </c:val>
        </c:ser>
        <c:ser>
          <c:idx val="1"/>
          <c:order val="1"/>
          <c:tx>
            <c:strRef>
              <c:f>'gr7'!$F$6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('gr7'!$B$8,'gr7'!$B$11,'gr7'!$B$13:$B$21)</c:f>
              <c:strCache>
                <c:ptCount val="11"/>
                <c:pt idx="0">
                  <c:v>01-24</c:v>
                </c:pt>
                <c:pt idx="1">
                  <c:v>25-27</c:v>
                </c:pt>
                <c:pt idx="2">
                  <c:v>28-40</c:v>
                </c:pt>
                <c:pt idx="3">
                  <c:v>41-43</c:v>
                </c:pt>
                <c:pt idx="4">
                  <c:v>44-49</c:v>
                </c:pt>
                <c:pt idx="5">
                  <c:v>50-67</c:v>
                </c:pt>
                <c:pt idx="6">
                  <c:v>68-70</c:v>
                </c:pt>
                <c:pt idx="7">
                  <c:v>71</c:v>
                </c:pt>
                <c:pt idx="8">
                  <c:v>72-83</c:v>
                </c:pt>
                <c:pt idx="9">
                  <c:v>84-89</c:v>
                </c:pt>
                <c:pt idx="10">
                  <c:v>90-97</c:v>
                </c:pt>
              </c:strCache>
            </c:strRef>
          </c:cat>
          <c:val>
            <c:numRef>
              <c:f>('gr7'!$F$8,'gr7'!$F$11,'gr7'!$F$13:$F$21)</c:f>
              <c:numCache>
                <c:formatCode>0.0</c:formatCode>
                <c:ptCount val="11"/>
                <c:pt idx="0">
                  <c:v>789.40509999999995</c:v>
                </c:pt>
                <c:pt idx="1">
                  <c:v>742.59849999999994</c:v>
                </c:pt>
                <c:pt idx="2">
                  <c:v>44.800699999999999</c:v>
                </c:pt>
                <c:pt idx="3">
                  <c:v>8.6674000000000007</c:v>
                </c:pt>
                <c:pt idx="4">
                  <c:v>2.4821</c:v>
                </c:pt>
                <c:pt idx="5">
                  <c:v>172.00530000000001</c:v>
                </c:pt>
                <c:pt idx="6">
                  <c:v>15.9634</c:v>
                </c:pt>
                <c:pt idx="7">
                  <c:v>414.57760000000002</c:v>
                </c:pt>
                <c:pt idx="8">
                  <c:v>261.18759999999997</c:v>
                </c:pt>
                <c:pt idx="9">
                  <c:v>76.028700000000001</c:v>
                </c:pt>
                <c:pt idx="10">
                  <c:v>108.8882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2488376"/>
        <c:axId val="292488768"/>
        <c:axId val="0"/>
      </c:bar3DChart>
      <c:catAx>
        <c:axId val="292488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2924887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92488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մլն.ԱՄՆ.դոլար </a:t>
                </a:r>
              </a:p>
            </c:rich>
          </c:tx>
          <c:layout>
            <c:manualLayout>
              <c:xMode val="edge"/>
              <c:yMode val="edge"/>
              <c:x val="1.7052079016438737E-2"/>
              <c:y val="0.343512251808218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2924883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375939849624065"/>
          <c:y val="0.41221454188455448"/>
          <c:w val="7.6691729323308255E-2"/>
          <c:h val="0.145038568652200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40963887044239949"/>
          <c:y val="3.846153846153846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3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036151223167492E-2"/>
          <c:y val="0.13076923076923078"/>
          <c:w val="0.90361512231674912"/>
          <c:h val="0.719230769230769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'gr7'!$H$6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('gr7'!$B$8,'gr7'!$B$11,'gr7'!$B$13:$B$21)</c:f>
              <c:strCache>
                <c:ptCount val="11"/>
                <c:pt idx="0">
                  <c:v>01-24</c:v>
                </c:pt>
                <c:pt idx="1">
                  <c:v>25-27</c:v>
                </c:pt>
                <c:pt idx="2">
                  <c:v>28-40</c:v>
                </c:pt>
                <c:pt idx="3">
                  <c:v>41-43</c:v>
                </c:pt>
                <c:pt idx="4">
                  <c:v>44-49</c:v>
                </c:pt>
                <c:pt idx="5">
                  <c:v>50-67</c:v>
                </c:pt>
                <c:pt idx="6">
                  <c:v>68-70</c:v>
                </c:pt>
                <c:pt idx="7">
                  <c:v>71</c:v>
                </c:pt>
                <c:pt idx="8">
                  <c:v>72-83</c:v>
                </c:pt>
                <c:pt idx="9">
                  <c:v>84-89</c:v>
                </c:pt>
                <c:pt idx="10">
                  <c:v>90-97</c:v>
                </c:pt>
              </c:strCache>
            </c:strRef>
          </c:cat>
          <c:val>
            <c:numRef>
              <c:f>('gr7'!$H$8,'gr7'!$H$11,'gr7'!$H$13:$H$21)</c:f>
              <c:numCache>
                <c:formatCode>0.0</c:formatCode>
                <c:ptCount val="11"/>
                <c:pt idx="0">
                  <c:v>805.31129999999996</c:v>
                </c:pt>
                <c:pt idx="1">
                  <c:v>723.62649999999996</c:v>
                </c:pt>
                <c:pt idx="2">
                  <c:v>595.17819999999995</c:v>
                </c:pt>
                <c:pt idx="3">
                  <c:v>24.37</c:v>
                </c:pt>
                <c:pt idx="4">
                  <c:v>148.86060000000001</c:v>
                </c:pt>
                <c:pt idx="5">
                  <c:v>375.47390000000001</c:v>
                </c:pt>
                <c:pt idx="6">
                  <c:v>94.249200000000002</c:v>
                </c:pt>
                <c:pt idx="7">
                  <c:v>278.63760000000002</c:v>
                </c:pt>
                <c:pt idx="8">
                  <c:v>341.96870000000001</c:v>
                </c:pt>
                <c:pt idx="9">
                  <c:v>1300.3414</c:v>
                </c:pt>
                <c:pt idx="10">
                  <c:v>277.27379999999999</c:v>
                </c:pt>
              </c:numCache>
            </c:numRef>
          </c:val>
        </c:ser>
        <c:ser>
          <c:idx val="1"/>
          <c:order val="1"/>
          <c:tx>
            <c:strRef>
              <c:f>'gr7'!$J$6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('gr7'!$B$8,'gr7'!$B$11,'gr7'!$B$13:$B$21)</c:f>
              <c:strCache>
                <c:ptCount val="11"/>
                <c:pt idx="0">
                  <c:v>01-24</c:v>
                </c:pt>
                <c:pt idx="1">
                  <c:v>25-27</c:v>
                </c:pt>
                <c:pt idx="2">
                  <c:v>28-40</c:v>
                </c:pt>
                <c:pt idx="3">
                  <c:v>41-43</c:v>
                </c:pt>
                <c:pt idx="4">
                  <c:v>44-49</c:v>
                </c:pt>
                <c:pt idx="5">
                  <c:v>50-67</c:v>
                </c:pt>
                <c:pt idx="6">
                  <c:v>68-70</c:v>
                </c:pt>
                <c:pt idx="7">
                  <c:v>71</c:v>
                </c:pt>
                <c:pt idx="8">
                  <c:v>72-83</c:v>
                </c:pt>
                <c:pt idx="9">
                  <c:v>84-89</c:v>
                </c:pt>
                <c:pt idx="10">
                  <c:v>90-97</c:v>
                </c:pt>
              </c:strCache>
            </c:strRef>
          </c:cat>
          <c:val>
            <c:numRef>
              <c:f>('gr7'!$J$8,'gr7'!$J$11,'gr7'!$J$13:$J$21)</c:f>
              <c:numCache>
                <c:formatCode>0.0</c:formatCode>
                <c:ptCount val="11"/>
                <c:pt idx="0">
                  <c:v>870.26</c:v>
                </c:pt>
                <c:pt idx="1">
                  <c:v>806.26599999999996</c:v>
                </c:pt>
                <c:pt idx="2">
                  <c:v>682.95360000000005</c:v>
                </c:pt>
                <c:pt idx="3">
                  <c:v>24.257200000000001</c:v>
                </c:pt>
                <c:pt idx="4">
                  <c:v>162.7253</c:v>
                </c:pt>
                <c:pt idx="5">
                  <c:v>360.5566</c:v>
                </c:pt>
                <c:pt idx="6">
                  <c:v>95.505499999999998</c:v>
                </c:pt>
                <c:pt idx="7">
                  <c:v>303.2149</c:v>
                </c:pt>
                <c:pt idx="8">
                  <c:v>346.63249999999999</c:v>
                </c:pt>
                <c:pt idx="9">
                  <c:v>1643.9211</c:v>
                </c:pt>
                <c:pt idx="10">
                  <c:v>256.74079999999998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2489552"/>
        <c:axId val="292489944"/>
        <c:axId val="0"/>
      </c:bar3DChart>
      <c:catAx>
        <c:axId val="29248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2924899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92489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մլն.ԱՄՆ.դոլար</a:t>
                </a:r>
              </a:p>
            </c:rich>
          </c:tx>
          <c:layout>
            <c:manualLayout>
              <c:xMode val="edge"/>
              <c:yMode val="edge"/>
              <c:x val="2.1084337349397589E-2"/>
              <c:y val="0.3230769230769230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2924895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1114521076431709"/>
          <c:y val="0.51923076923076927"/>
          <c:w val="7.8313253012048167E-2"/>
          <c:h val="0.126923076923076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22</xdr:row>
      <xdr:rowOff>19050</xdr:rowOff>
    </xdr:from>
    <xdr:to>
      <xdr:col>10</xdr:col>
      <xdr:colOff>438150</xdr:colOff>
      <xdr:row>37</xdr:row>
      <xdr:rowOff>85725</xdr:rowOff>
    </xdr:to>
    <xdr:graphicFrame macro="">
      <xdr:nvGraphicFramePr>
        <xdr:cNvPr id="311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37</xdr:row>
      <xdr:rowOff>95250</xdr:rowOff>
    </xdr:from>
    <xdr:to>
      <xdr:col>10</xdr:col>
      <xdr:colOff>438150</xdr:colOff>
      <xdr:row>52</xdr:row>
      <xdr:rowOff>142875</xdr:rowOff>
    </xdr:to>
    <xdr:graphicFrame macro="">
      <xdr:nvGraphicFramePr>
        <xdr:cNvPr id="311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22"/>
  <sheetViews>
    <sheetView tabSelected="1" zoomScale="90" workbookViewId="0">
      <selection activeCell="O31" sqref="O31"/>
    </sheetView>
  </sheetViews>
  <sheetFormatPr defaultRowHeight="12.75" x14ac:dyDescent="0.2"/>
  <cols>
    <col min="1" max="1" width="4" customWidth="1"/>
    <col min="2" max="2" width="8.5703125" customWidth="1"/>
    <col min="3" max="3" width="27" customWidth="1"/>
    <col min="4" max="4" width="6.140625" bestFit="1" customWidth="1"/>
    <col min="5" max="5" width="6.7109375" customWidth="1"/>
    <col min="6" max="6" width="6.85546875" bestFit="1" customWidth="1"/>
    <col min="7" max="7" width="6.7109375" customWidth="1"/>
    <col min="8" max="8" width="7.85546875" customWidth="1"/>
    <col min="9" max="9" width="7.28515625" customWidth="1"/>
    <col min="10" max="10" width="7.7109375" customWidth="1"/>
    <col min="11" max="11" width="6.85546875" bestFit="1" customWidth="1"/>
    <col min="12" max="12" width="1.140625" customWidth="1"/>
    <col min="53" max="53" width="0.140625" customWidth="1"/>
  </cols>
  <sheetData>
    <row r="1" spans="1:11" ht="16.5" customHeight="1" x14ac:dyDescent="0.35">
      <c r="A1" s="60" t="s">
        <v>48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7.25" x14ac:dyDescent="0.3">
      <c r="A2" s="59" t="s">
        <v>28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ht="18.75" customHeight="1" x14ac:dyDescent="0.3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ht="3.75" customHeight="1" thickBo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22.5" customHeight="1" x14ac:dyDescent="0.2">
      <c r="A5" s="27" t="s">
        <v>29</v>
      </c>
      <c r="B5" s="27" t="s">
        <v>30</v>
      </c>
      <c r="C5" s="5" t="s">
        <v>31</v>
      </c>
      <c r="D5" s="61" t="s">
        <v>25</v>
      </c>
      <c r="E5" s="62"/>
      <c r="F5" s="62"/>
      <c r="G5" s="63"/>
      <c r="H5" s="61" t="s">
        <v>26</v>
      </c>
      <c r="I5" s="62"/>
      <c r="J5" s="62"/>
      <c r="K5" s="63"/>
    </row>
    <row r="6" spans="1:11" ht="17.25" thickBot="1" x14ac:dyDescent="0.35">
      <c r="A6" s="6"/>
      <c r="B6" s="7" t="s">
        <v>32</v>
      </c>
      <c r="C6" s="8"/>
      <c r="D6" s="9" t="s">
        <v>49</v>
      </c>
      <c r="E6" s="10" t="s">
        <v>33</v>
      </c>
      <c r="F6" s="11" t="s">
        <v>50</v>
      </c>
      <c r="G6" s="12" t="s">
        <v>33</v>
      </c>
      <c r="H6" s="9" t="s">
        <v>49</v>
      </c>
      <c r="I6" s="10" t="s">
        <v>33</v>
      </c>
      <c r="J6" s="11" t="s">
        <v>50</v>
      </c>
      <c r="K6" s="12" t="s">
        <v>33</v>
      </c>
    </row>
    <row r="7" spans="1:11" s="1" customFormat="1" ht="6" thickBo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5">
      <c r="A8" s="13" t="s">
        <v>5</v>
      </c>
      <c r="B8" s="14" t="s">
        <v>6</v>
      </c>
      <c r="C8" s="30" t="s">
        <v>34</v>
      </c>
      <c r="D8" s="37">
        <v>684.70569999999998</v>
      </c>
      <c r="E8" s="38">
        <f>D8/D22</f>
        <v>0.2844747661931456</v>
      </c>
      <c r="F8" s="39">
        <v>789.40509999999995</v>
      </c>
      <c r="G8" s="40">
        <f>F8/F22</f>
        <v>0.29940215533265774</v>
      </c>
      <c r="H8" s="37">
        <v>805.31129999999996</v>
      </c>
      <c r="I8" s="38">
        <f>H8/H22</f>
        <v>0.16218813108081154</v>
      </c>
      <c r="J8" s="39">
        <v>870.26</v>
      </c>
      <c r="K8" s="40">
        <f>J8/J22</f>
        <v>0.15671794524560315</v>
      </c>
    </row>
    <row r="9" spans="1:11" ht="14.25" customHeight="1" x14ac:dyDescent="0.25">
      <c r="A9" s="15"/>
      <c r="B9" s="16" t="s">
        <v>7</v>
      </c>
      <c r="C9" s="17" t="s">
        <v>35</v>
      </c>
      <c r="D9" s="41">
        <v>229.73849999999999</v>
      </c>
      <c r="E9" s="42">
        <f>D9/D22</f>
        <v>9.5449484461811812E-2</v>
      </c>
      <c r="F9" s="43">
        <v>293.10879999999997</v>
      </c>
      <c r="G9" s="44">
        <f>F9/F22</f>
        <v>0.11116903914982169</v>
      </c>
      <c r="H9" s="41">
        <v>41.047199999999997</v>
      </c>
      <c r="I9" s="42">
        <f>H9/H22</f>
        <v>8.2668263243050079E-3</v>
      </c>
      <c r="J9" s="43">
        <v>55.501899999999999</v>
      </c>
      <c r="K9" s="44">
        <f>J9/J22</f>
        <v>9.9948793753900471E-3</v>
      </c>
    </row>
    <row r="10" spans="1:11" ht="14.25" customHeight="1" x14ac:dyDescent="0.25">
      <c r="A10" s="18"/>
      <c r="B10" s="19" t="s">
        <v>8</v>
      </c>
      <c r="C10" s="20" t="s">
        <v>36</v>
      </c>
      <c r="D10" s="41">
        <v>267.6259</v>
      </c>
      <c r="E10" s="42">
        <f>D10/D22</f>
        <v>0.11119056746530687</v>
      </c>
      <c r="F10" s="43">
        <v>290.45870000000002</v>
      </c>
      <c r="G10" s="44">
        <f>F10/F22</f>
        <v>0.11016392067282292</v>
      </c>
      <c r="H10" s="41">
        <v>130.37</v>
      </c>
      <c r="I10" s="42">
        <f>H10/H22</f>
        <v>2.6256264687960298E-2</v>
      </c>
      <c r="J10" s="43">
        <v>149.48920000000001</v>
      </c>
      <c r="K10" s="44">
        <f>J10/J22</f>
        <v>2.6920276998148855E-2</v>
      </c>
    </row>
    <row r="11" spans="1:11" ht="16.5" x14ac:dyDescent="0.3">
      <c r="A11" s="21" t="s">
        <v>9</v>
      </c>
      <c r="B11" s="22" t="s">
        <v>0</v>
      </c>
      <c r="C11" s="23" t="s">
        <v>37</v>
      </c>
      <c r="D11" s="45">
        <v>659.60440000000006</v>
      </c>
      <c r="E11" s="46">
        <f>D11/D22</f>
        <v>0.27404592581888848</v>
      </c>
      <c r="F11" s="47">
        <v>742.59849999999994</v>
      </c>
      <c r="G11" s="48">
        <f>F11/F22</f>
        <v>0.28164955033454764</v>
      </c>
      <c r="H11" s="45">
        <v>723.62649999999996</v>
      </c>
      <c r="I11" s="46">
        <f>H11/H22</f>
        <v>0.1457369710763389</v>
      </c>
      <c r="J11" s="47">
        <v>806.26599999999996</v>
      </c>
      <c r="K11" s="48">
        <f>J11/J22</f>
        <v>0.14519379362649262</v>
      </c>
    </row>
    <row r="12" spans="1:11" ht="14.25" customHeight="1" x14ac:dyDescent="0.25">
      <c r="A12" s="18"/>
      <c r="B12" s="19" t="s">
        <v>10</v>
      </c>
      <c r="C12" s="20" t="s">
        <v>38</v>
      </c>
      <c r="D12" s="49">
        <v>96.025000000000006</v>
      </c>
      <c r="E12" s="50">
        <f>D12/D22</f>
        <v>3.989551923358723E-2</v>
      </c>
      <c r="F12" s="51">
        <v>68.564999999999998</v>
      </c>
      <c r="G12" s="52">
        <f>F12/F22</f>
        <v>2.6005036932727797E-2</v>
      </c>
      <c r="H12" s="53">
        <v>680.76679999999999</v>
      </c>
      <c r="I12" s="50">
        <f>H12/H22</f>
        <v>0.13710511077376489</v>
      </c>
      <c r="J12" s="54">
        <v>757.58900000000006</v>
      </c>
      <c r="K12" s="52">
        <f>J12/J22</f>
        <v>0.13642795419836745</v>
      </c>
    </row>
    <row r="13" spans="1:11" ht="25.5" customHeight="1" x14ac:dyDescent="0.2">
      <c r="A13" s="24" t="s">
        <v>11</v>
      </c>
      <c r="B13" s="25" t="s">
        <v>12</v>
      </c>
      <c r="C13" s="29" t="s">
        <v>39</v>
      </c>
      <c r="D13" s="55">
        <v>42.971699999999998</v>
      </c>
      <c r="E13" s="56">
        <f>D13/D22</f>
        <v>1.7853457785471909E-2</v>
      </c>
      <c r="F13" s="57">
        <v>44.800699999999999</v>
      </c>
      <c r="G13" s="58">
        <f>F13/F22</f>
        <v>1.6991815913542742E-2</v>
      </c>
      <c r="H13" s="55">
        <v>595.17819999999995</v>
      </c>
      <c r="I13" s="56">
        <f>H13/H22</f>
        <v>0.11986773303446936</v>
      </c>
      <c r="J13" s="57">
        <v>682.95360000000005</v>
      </c>
      <c r="K13" s="58">
        <f>J13/J22</f>
        <v>0.12298748062658006</v>
      </c>
    </row>
    <row r="14" spans="1:11" ht="18.75" customHeight="1" x14ac:dyDescent="0.2">
      <c r="A14" s="24" t="s">
        <v>13</v>
      </c>
      <c r="B14" s="25" t="s">
        <v>1</v>
      </c>
      <c r="C14" s="28" t="s">
        <v>40</v>
      </c>
      <c r="D14" s="55">
        <v>13.7219</v>
      </c>
      <c r="E14" s="56">
        <f>D14/D22</f>
        <v>5.7010395768951894E-3</v>
      </c>
      <c r="F14" s="57">
        <v>8.6674000000000007</v>
      </c>
      <c r="G14" s="58">
        <f>F14/F22</f>
        <v>3.2873340204291534E-3</v>
      </c>
      <c r="H14" s="55">
        <v>24.37</v>
      </c>
      <c r="I14" s="56">
        <f>H14/H22</f>
        <v>4.9080706485049664E-3</v>
      </c>
      <c r="J14" s="57">
        <v>24.257200000000001</v>
      </c>
      <c r="K14" s="58">
        <f>J14/J22</f>
        <v>4.368279067648341E-3</v>
      </c>
    </row>
    <row r="15" spans="1:11" ht="28.5" customHeight="1" x14ac:dyDescent="0.2">
      <c r="A15" s="24" t="s">
        <v>14</v>
      </c>
      <c r="B15" s="25" t="s">
        <v>15</v>
      </c>
      <c r="C15" s="28" t="s">
        <v>41</v>
      </c>
      <c r="D15" s="55">
        <v>3.2768000000000002</v>
      </c>
      <c r="E15" s="56">
        <f>D15/D22</f>
        <v>1.3614125219955078E-3</v>
      </c>
      <c r="F15" s="57">
        <v>2.4821</v>
      </c>
      <c r="G15" s="58">
        <f>F15/F22</f>
        <v>9.4140016292166065E-4</v>
      </c>
      <c r="H15" s="55">
        <v>148.86060000000001</v>
      </c>
      <c r="I15" s="56">
        <f>H15/H22</f>
        <v>2.9980235600280607E-2</v>
      </c>
      <c r="J15" s="57">
        <v>162.7253</v>
      </c>
      <c r="K15" s="58">
        <f>J15/J22</f>
        <v>2.9303857071994975E-2</v>
      </c>
    </row>
    <row r="16" spans="1:11" ht="16.5" x14ac:dyDescent="0.2">
      <c r="A16" s="24" t="s">
        <v>16</v>
      </c>
      <c r="B16" s="25" t="s">
        <v>17</v>
      </c>
      <c r="C16" s="28" t="s">
        <v>42</v>
      </c>
      <c r="D16" s="55">
        <v>229.7953</v>
      </c>
      <c r="E16" s="56">
        <f>D16/D22</f>
        <v>9.547308316519601E-2</v>
      </c>
      <c r="F16" s="57">
        <v>172.00530000000001</v>
      </c>
      <c r="G16" s="58">
        <f>F16/F22</f>
        <v>6.5237426954348782E-2</v>
      </c>
      <c r="H16" s="55">
        <v>375.47390000000001</v>
      </c>
      <c r="I16" s="56">
        <f>H16/H22</f>
        <v>7.561971390519856E-2</v>
      </c>
      <c r="J16" s="57">
        <v>360.5566</v>
      </c>
      <c r="K16" s="58">
        <f>J16/J22</f>
        <v>6.4929664119620395E-2</v>
      </c>
    </row>
    <row r="17" spans="1:11" ht="30" customHeight="1" x14ac:dyDescent="0.2">
      <c r="A17" s="24" t="s">
        <v>18</v>
      </c>
      <c r="B17" s="25" t="s">
        <v>2</v>
      </c>
      <c r="C17" s="28" t="s">
        <v>43</v>
      </c>
      <c r="D17" s="55">
        <v>24.220500000000001</v>
      </c>
      <c r="E17" s="56">
        <f>D17/D22</f>
        <v>1.0062894283750059E-2</v>
      </c>
      <c r="F17" s="57">
        <v>15.9634</v>
      </c>
      <c r="G17" s="58">
        <f>F17/F22</f>
        <v>6.0545293746358479E-3</v>
      </c>
      <c r="H17" s="55">
        <v>94.249200000000002</v>
      </c>
      <c r="I17" s="56">
        <f>H17/H22</f>
        <v>1.8981605751541824E-2</v>
      </c>
      <c r="J17" s="57">
        <v>95.505499999999998</v>
      </c>
      <c r="K17" s="58">
        <f>J17/J22</f>
        <v>1.7198797738209214E-2</v>
      </c>
    </row>
    <row r="18" spans="1:11" ht="16.5" x14ac:dyDescent="0.2">
      <c r="A18" s="24" t="s">
        <v>19</v>
      </c>
      <c r="B18" s="25" t="s">
        <v>3</v>
      </c>
      <c r="C18" s="28" t="s">
        <v>44</v>
      </c>
      <c r="D18" s="55">
        <v>306.19940000000003</v>
      </c>
      <c r="E18" s="56">
        <f>D18/D22</f>
        <v>0.12721670452499734</v>
      </c>
      <c r="F18" s="57">
        <v>414.57760000000002</v>
      </c>
      <c r="G18" s="58">
        <f>F18/F22</f>
        <v>0.15723920075084447</v>
      </c>
      <c r="H18" s="55">
        <v>278.63760000000002</v>
      </c>
      <c r="I18" s="56">
        <f>H18/H22</f>
        <v>5.611707124045414E-2</v>
      </c>
      <c r="J18" s="57">
        <v>303.2149</v>
      </c>
      <c r="K18" s="58">
        <f>J18/J22</f>
        <v>5.4603470337429086E-2</v>
      </c>
    </row>
    <row r="19" spans="1:11" ht="19.5" customHeight="1" x14ac:dyDescent="0.2">
      <c r="A19" s="24" t="s">
        <v>20</v>
      </c>
      <c r="B19" s="25" t="s">
        <v>4</v>
      </c>
      <c r="C19" s="28" t="s">
        <v>45</v>
      </c>
      <c r="D19" s="55">
        <v>296.60989999999998</v>
      </c>
      <c r="E19" s="56">
        <f>D19/D22</f>
        <v>0.12323255371332865</v>
      </c>
      <c r="F19" s="57">
        <v>261.18759999999997</v>
      </c>
      <c r="G19" s="58">
        <f>F19/F22</f>
        <v>9.9062104344352572E-2</v>
      </c>
      <c r="H19" s="55">
        <v>341.96870000000001</v>
      </c>
      <c r="I19" s="56">
        <f>H19/H22</f>
        <v>6.8871831726606492E-2</v>
      </c>
      <c r="J19" s="57">
        <v>346.63249999999999</v>
      </c>
      <c r="K19" s="58">
        <f>J19/J22</f>
        <v>6.2422187800595844E-2</v>
      </c>
    </row>
    <row r="20" spans="1:11" ht="27" x14ac:dyDescent="0.2">
      <c r="A20" s="24" t="s">
        <v>21</v>
      </c>
      <c r="B20" s="26" t="s">
        <v>22</v>
      </c>
      <c r="C20" s="28" t="s">
        <v>46</v>
      </c>
      <c r="D20" s="55">
        <v>69.332099999999997</v>
      </c>
      <c r="E20" s="56">
        <f>D20/D22</f>
        <v>2.8805416600416484E-2</v>
      </c>
      <c r="F20" s="57">
        <v>76.028700000000001</v>
      </c>
      <c r="G20" s="58">
        <f>F20/F22</f>
        <v>2.8835836818307908E-2</v>
      </c>
      <c r="H20" s="55">
        <v>1300.3414</v>
      </c>
      <c r="I20" s="56">
        <f>H20/H22</f>
        <v>0.26188623136544342</v>
      </c>
      <c r="J20" s="57">
        <v>1643.9211</v>
      </c>
      <c r="K20" s="58">
        <f>J20/J22</f>
        <v>0.29604019136567428</v>
      </c>
    </row>
    <row r="21" spans="1:11" ht="22.5" customHeight="1" x14ac:dyDescent="0.2">
      <c r="A21" s="24" t="s">
        <v>23</v>
      </c>
      <c r="B21" s="26" t="s">
        <v>24</v>
      </c>
      <c r="C21" s="28" t="s">
        <v>47</v>
      </c>
      <c r="D21" s="55">
        <v>76.474199999999996</v>
      </c>
      <c r="E21" s="56">
        <f>D21/D22</f>
        <v>3.177274581591457E-2</v>
      </c>
      <c r="F21" s="57">
        <v>108.8882</v>
      </c>
      <c r="G21" s="58">
        <f>F21/F22</f>
        <v>4.1298645993411369E-2</v>
      </c>
      <c r="H21" s="55">
        <v>277.27379999999999</v>
      </c>
      <c r="I21" s="56">
        <f>H21/H22</f>
        <v>5.5842404570350279E-2</v>
      </c>
      <c r="J21" s="57">
        <v>256.74079999999998</v>
      </c>
      <c r="K21" s="58">
        <f>J21/J22</f>
        <v>4.6234333000152082E-2</v>
      </c>
    </row>
    <row r="22" spans="1:11" ht="17.25" thickBot="1" x14ac:dyDescent="0.25">
      <c r="A22" s="2" t="s">
        <v>27</v>
      </c>
      <c r="B22" s="31"/>
      <c r="C22" s="32"/>
      <c r="D22" s="33">
        <f>D8+D11+D13+D14+D15+D16+D17+D18+D19+D20+D21</f>
        <v>2406.9119000000005</v>
      </c>
      <c r="E22" s="34"/>
      <c r="F22" s="33">
        <f>F8+F11+F13+F14+F15+F16+F17+F18+F19+F20+F21</f>
        <v>2636.6046000000001</v>
      </c>
      <c r="G22" s="35"/>
      <c r="H22" s="33">
        <f>H8+H11+H13+H14+H15+H16+H17+H18+H19+H20+H21</f>
        <v>4965.2911999999997</v>
      </c>
      <c r="I22" s="34"/>
      <c r="J22" s="33">
        <f>J8+J11+J13+J14+J15+J16+J17+J18+J19+J20+J21</f>
        <v>5553.0334999999995</v>
      </c>
      <c r="K22" s="36"/>
    </row>
  </sheetData>
  <mergeCells count="5">
    <mergeCell ref="A1:K1"/>
    <mergeCell ref="A2:K2"/>
    <mergeCell ref="D5:G5"/>
    <mergeCell ref="H5:K5"/>
    <mergeCell ref="A3:K3"/>
  </mergeCells>
  <phoneticPr fontId="2" type="noConversion"/>
  <pageMargins left="0.61" right="0.19" top="0.3" bottom="0.37" header="0.16" footer="0.2"/>
  <pageSetup paperSize="9" firstPageNumber="2" orientation="portrait" useFirstPageNumber="1" r:id="rId1"/>
  <headerFooter alignWithMargins="0">
    <oddHeader>&amp;R&amp;8&amp;U¶ñ³ýÇÏ 6</oddHeader>
    <oddFooter>&amp;C7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Armen Movsesyan S.</cp:lastModifiedBy>
  <cp:lastPrinted>2018-11-13T07:22:18Z</cp:lastPrinted>
  <dcterms:created xsi:type="dcterms:W3CDTF">2001-03-30T11:12:39Z</dcterms:created>
  <dcterms:modified xsi:type="dcterms:W3CDTF">2020-03-02T06:18:35Z</dcterms:modified>
</cp:coreProperties>
</file>