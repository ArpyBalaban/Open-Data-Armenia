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6420" yWindow="105" windowWidth="6480" windowHeight="3810"/>
  </bookViews>
  <sheets>
    <sheet name="ax6" sheetId="24" r:id="rId1"/>
  </sheets>
  <definedNames>
    <definedName name="_xlnm._FilterDatabase" localSheetId="0" hidden="1">'ax6'!#REF!</definedName>
  </definedNames>
  <calcPr calcId="144525"/>
</workbook>
</file>

<file path=xl/calcChain.xml><?xml version="1.0" encoding="utf-8"?>
<calcChain xmlns="http://schemas.openxmlformats.org/spreadsheetml/2006/main">
  <c r="I10" i="24" l="1"/>
  <c r="J29" i="24"/>
  <c r="G10" i="24"/>
  <c r="H29" i="24"/>
  <c r="E10" i="24"/>
  <c r="F22" i="24"/>
  <c r="C10" i="24"/>
  <c r="D18" i="24"/>
  <c r="H30" i="24"/>
  <c r="H23" i="24"/>
  <c r="F28" i="24"/>
  <c r="H20" i="24"/>
  <c r="H13" i="24"/>
  <c r="H16" i="24"/>
  <c r="H14" i="24"/>
  <c r="F21" i="24"/>
  <c r="F18" i="24"/>
  <c r="H25" i="24"/>
  <c r="H27" i="24"/>
  <c r="F25" i="24"/>
  <c r="F16" i="24"/>
  <c r="F17" i="24"/>
  <c r="F24" i="24"/>
  <c r="F13" i="24"/>
  <c r="F20" i="24"/>
  <c r="H17" i="24"/>
  <c r="H21" i="24"/>
  <c r="F12" i="24"/>
  <c r="H15" i="24"/>
  <c r="F26" i="24"/>
  <c r="F31" i="24"/>
  <c r="F15" i="24"/>
  <c r="J13" i="24"/>
  <c r="J28" i="24"/>
  <c r="J23" i="24"/>
  <c r="J18" i="24"/>
  <c r="J25" i="24"/>
  <c r="J24" i="24"/>
  <c r="J19" i="24"/>
  <c r="J12" i="24"/>
  <c r="J21" i="24"/>
  <c r="J20" i="24"/>
  <c r="J31" i="24"/>
  <c r="J15" i="24"/>
  <c r="J26" i="24"/>
  <c r="J17" i="24"/>
  <c r="J16" i="24"/>
  <c r="J27" i="24"/>
  <c r="J22" i="24"/>
  <c r="F27" i="24"/>
  <c r="F19" i="24"/>
  <c r="J30" i="24"/>
  <c r="J14" i="24"/>
  <c r="H12" i="24"/>
  <c r="H19" i="24"/>
  <c r="H18" i="24"/>
  <c r="H26" i="24"/>
  <c r="H28" i="24"/>
  <c r="H24" i="24"/>
  <c r="H31" i="24"/>
  <c r="H22" i="24"/>
  <c r="F30" i="24"/>
  <c r="F14" i="24"/>
  <c r="F29" i="24"/>
  <c r="F23" i="24"/>
  <c r="D27" i="24"/>
  <c r="D25" i="24"/>
  <c r="D28" i="24"/>
  <c r="D15" i="24"/>
  <c r="D22" i="24"/>
  <c r="D31" i="24"/>
  <c r="D19" i="24"/>
  <c r="D16" i="24"/>
  <c r="D20" i="24"/>
  <c r="D21" i="24"/>
  <c r="D12" i="24"/>
  <c r="D30" i="24"/>
  <c r="D29" i="24"/>
  <c r="D26" i="24"/>
  <c r="D23" i="24"/>
  <c r="D24" i="24"/>
  <c r="D13" i="24"/>
  <c r="D17" i="24"/>
  <c r="D14" i="24"/>
</calcChain>
</file>

<file path=xl/sharedStrings.xml><?xml version="1.0" encoding="utf-8"?>
<sst xmlns="http://schemas.openxmlformats.org/spreadsheetml/2006/main" count="63" uniqueCount="56">
  <si>
    <t>25-27</t>
  </si>
  <si>
    <t>41-43</t>
  </si>
  <si>
    <t>68-70</t>
  </si>
  <si>
    <t>71</t>
  </si>
  <si>
    <t>72-83</t>
  </si>
  <si>
    <t>Արտահանում</t>
  </si>
  <si>
    <t>Ներմուծում</t>
  </si>
  <si>
    <t>ԸՆԴԱՄԵՆԸ</t>
  </si>
  <si>
    <t>(մլն. ԱՄՆ դոլար)</t>
  </si>
  <si>
    <t>կոդը</t>
  </si>
  <si>
    <t>Հանքանյութեր</t>
  </si>
  <si>
    <t>ՀՀ արտահանման եւ ներմուծման կառուցվածքը</t>
  </si>
  <si>
    <t>ԱՏԳ</t>
  </si>
  <si>
    <t>Ապրանքախմբեր</t>
  </si>
  <si>
    <t>ԱԱ -ի</t>
  </si>
  <si>
    <t>արժեքը</t>
  </si>
  <si>
    <t>արտ. մասը, % -ով</t>
  </si>
  <si>
    <t>ներ. մասը, % -ով</t>
  </si>
  <si>
    <t>01-05</t>
  </si>
  <si>
    <t xml:space="preserve">Կենդանի կենդանիներ և կենդ.սննդամթերք </t>
  </si>
  <si>
    <t>06-14</t>
  </si>
  <si>
    <t>Բուսական ծագմամբ մթերքներ</t>
  </si>
  <si>
    <t>15</t>
  </si>
  <si>
    <t>Կենդ. կամ բուս. ճարպ և յուղ</t>
  </si>
  <si>
    <t>16-24</t>
  </si>
  <si>
    <t>Պատրաստի սննդամթերք, ալկոհոլ. և ոչ ալկոհոլային խմիչքներ, ծխախոտ</t>
  </si>
  <si>
    <t>28-38</t>
  </si>
  <si>
    <t>Քիմիական և հարակից ճյուղերի արտադրանք</t>
  </si>
  <si>
    <t>39-40</t>
  </si>
  <si>
    <t>Պոլիմերներ, պլաստմասսա, կաուչուկ և արտադրանք</t>
  </si>
  <si>
    <t>Մորթի, կաշի և արտադրանք</t>
  </si>
  <si>
    <t>44-46</t>
  </si>
  <si>
    <t>Փայտ և արտադրանք</t>
  </si>
  <si>
    <t>47-49</t>
  </si>
  <si>
    <t>Թուղթ, ստվարաթուղո և արտադրանք</t>
  </si>
  <si>
    <t>50-63</t>
  </si>
  <si>
    <t>Տեքստիլ և արտադրանք</t>
  </si>
  <si>
    <t>64-67</t>
  </si>
  <si>
    <t>Կոշկեղեն, գլխարկներ, հովանոցներ</t>
  </si>
  <si>
    <t>Քարե, գիպսե, ցեմենտե արտադրանք</t>
  </si>
  <si>
    <t>Թանկ. ու ոչ թանկ. քարեր, թանկ. մետաղներ և դրանցից արտադրանք</t>
  </si>
  <si>
    <t>Ոչ թանկարժեք մետաղներ և  արտադրանք</t>
  </si>
  <si>
    <t>84-85</t>
  </si>
  <si>
    <t>Մեքենաներ, սարքավորումներ, մեխանիզմներ</t>
  </si>
  <si>
    <t>86-89</t>
  </si>
  <si>
    <t>Փոխադրամիջոցներ</t>
  </si>
  <si>
    <t>90-92</t>
  </si>
  <si>
    <t>Օպտիկա, ֆոտո, կինո, չափիչ, բժշկական սարքավորումներ</t>
  </si>
  <si>
    <t>93-96</t>
  </si>
  <si>
    <t>Արդյունաբերական այլ արտադրանք</t>
  </si>
  <si>
    <t>97</t>
  </si>
  <si>
    <t>Արվեստի գործեր և հնություն</t>
  </si>
  <si>
    <t xml:space="preserve"> արտաքին և փոխադարձ առեւտրում</t>
  </si>
  <si>
    <t>2018թ.</t>
  </si>
  <si>
    <t>I կիսամյակ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</si>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</sst>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11" x14ac:knownFonts="1">
    <font>
      <sz val="10"/>
      <name val="Arial Armenian"/>
    </font>
    <font>
      <sz val="8"/>
      <name val="Arial Armenian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5"/>
      <name val="GHEA Grapalat"/>
      <family val="3"/>
    </font>
    <font>
      <sz val="9"/>
      <name val="GHEA Grapalat"/>
      <family val="3"/>
    </font>
    <font>
      <sz val="7"/>
      <name val="GHEA Grapalat"/>
      <family val="3"/>
    </font>
    <font>
      <b/>
      <sz val="5"/>
      <name val="GHEA Grapalat"/>
      <family val="3"/>
    </font>
    <font>
      <i/>
      <sz val="9"/>
      <name val="Arial Armenian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6" fillId="0" borderId="0" xfId="0" applyFont="1"/>
    <xf numFmtId="49" fontId="3" fillId="0" borderId="0" xfId="0" applyNumberFormat="1" applyFont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49" fontId="6" fillId="0" borderId="0" xfId="0" applyNumberFormat="1" applyFont="1"/>
    <xf numFmtId="0" fontId="9" fillId="0" borderId="0" xfId="0" applyFont="1"/>
    <xf numFmtId="0" fontId="9" fillId="0" borderId="0" xfId="0" quotePrefix="1" applyFont="1" applyAlignment="1">
      <alignment horizontal="left"/>
    </xf>
    <xf numFmtId="49" fontId="4" fillId="0" borderId="13" xfId="0" applyNumberFormat="1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3" fontId="4" fillId="0" borderId="2" xfId="0" applyNumberFormat="1" applyFont="1" applyBorder="1"/>
    <xf numFmtId="3" fontId="4" fillId="0" borderId="3" xfId="0" applyNumberFormat="1" applyFont="1" applyBorder="1"/>
    <xf numFmtId="0" fontId="6" fillId="0" borderId="0" xfId="0" quotePrefix="1" applyFont="1" applyAlignment="1">
      <alignment horizontal="left"/>
    </xf>
    <xf numFmtId="49" fontId="3" fillId="0" borderId="7" xfId="0" applyNumberFormat="1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0" fontId="7" fillId="0" borderId="7" xfId="0" quotePrefix="1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/>
    </xf>
    <xf numFmtId="2" fontId="3" fillId="0" borderId="14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6" fontId="10" fillId="0" borderId="15" xfId="0" applyNumberFormat="1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10" fontId="10" fillId="0" borderId="15" xfId="0" applyNumberFormat="1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="90" workbookViewId="0">
      <selection activeCell="M12" sqref="M12"/>
    </sheetView>
  </sheetViews>
  <sheetFormatPr defaultRowHeight="12.75" x14ac:dyDescent="0.2"/>
  <cols>
    <col min="1" max="1" width="6" customWidth="1"/>
    <col min="2" max="2" width="31.5703125" customWidth="1"/>
    <col min="3" max="3" width="7.28515625" customWidth="1"/>
    <col min="4" max="4" width="7.85546875" customWidth="1"/>
    <col min="5" max="5" width="7.42578125" customWidth="1"/>
    <col min="6" max="6" width="7.85546875" customWidth="1"/>
    <col min="7" max="7" width="6.28515625" bestFit="1" customWidth="1"/>
    <col min="8" max="8" width="7.28515625" customWidth="1"/>
    <col min="9" max="9" width="6.140625" bestFit="1" customWidth="1"/>
    <col min="10" max="10" width="7.28515625" customWidth="1"/>
    <col min="34" max="34" width="0.140625" customWidth="1"/>
  </cols>
  <sheetData>
    <row r="1" spans="1:10" ht="17.25" x14ac:dyDescent="0.3">
      <c r="A1" s="40" t="s">
        <v>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7.25" x14ac:dyDescent="0.3">
      <c r="A2" s="40" t="s">
        <v>52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7.25" x14ac:dyDescent="0.3">
      <c r="A3" s="34" t="s">
        <v>8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16.5" x14ac:dyDescent="0.3">
      <c r="A4" s="41" t="s">
        <v>54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ht="14.25" thickBot="1" x14ac:dyDescent="0.3">
      <c r="A5" s="3"/>
      <c r="B5" s="1"/>
      <c r="C5" s="1"/>
      <c r="D5" s="1"/>
      <c r="E5" s="1"/>
      <c r="F5" s="1"/>
      <c r="G5" s="1"/>
      <c r="H5" s="1"/>
      <c r="I5" s="1"/>
      <c r="J5" s="1"/>
    </row>
    <row r="6" spans="1:10" ht="18" thickTop="1" thickBot="1" x14ac:dyDescent="0.35">
      <c r="A6" s="4" t="s">
        <v>12</v>
      </c>
      <c r="B6" s="5" t="s">
        <v>13</v>
      </c>
      <c r="C6" s="35" t="s">
        <v>5</v>
      </c>
      <c r="D6" s="36"/>
      <c r="E6" s="36"/>
      <c r="F6" s="37"/>
      <c r="G6" s="35" t="s">
        <v>6</v>
      </c>
      <c r="H6" s="36"/>
      <c r="I6" s="36"/>
      <c r="J6" s="37"/>
    </row>
    <row r="7" spans="1:10" ht="15.75" thickTop="1" thickBot="1" x14ac:dyDescent="0.3">
      <c r="A7" s="6" t="s">
        <v>14</v>
      </c>
      <c r="B7" s="7"/>
      <c r="C7" s="38" t="s">
        <v>53</v>
      </c>
      <c r="D7" s="39"/>
      <c r="E7" s="38" t="s">
        <v>55</v>
      </c>
      <c r="F7" s="39"/>
      <c r="G7" s="38" t="s">
        <v>53</v>
      </c>
      <c r="H7" s="39"/>
      <c r="I7" s="38" t="s">
        <v>55</v>
      </c>
      <c r="J7" s="39"/>
    </row>
    <row r="8" spans="1:10" ht="19.5" thickTop="1" thickBot="1" x14ac:dyDescent="0.25">
      <c r="A8" s="8" t="s">
        <v>9</v>
      </c>
      <c r="B8" s="9"/>
      <c r="C8" s="10" t="s">
        <v>15</v>
      </c>
      <c r="D8" s="11" t="s">
        <v>16</v>
      </c>
      <c r="E8" s="10" t="s">
        <v>15</v>
      </c>
      <c r="F8" s="11" t="s">
        <v>16</v>
      </c>
      <c r="G8" s="10" t="s">
        <v>15</v>
      </c>
      <c r="H8" s="11" t="s">
        <v>17</v>
      </c>
      <c r="I8" s="10" t="s">
        <v>15</v>
      </c>
      <c r="J8" s="11" t="s">
        <v>17</v>
      </c>
    </row>
    <row r="9" spans="1:10" ht="6" customHeight="1" thickTop="1" thickBot="1" x14ac:dyDescent="0.25">
      <c r="A9" s="12"/>
      <c r="B9" s="2"/>
      <c r="C9" s="13"/>
      <c r="D9" s="13"/>
      <c r="E9" s="13"/>
      <c r="F9" s="13"/>
      <c r="G9" s="13"/>
      <c r="H9" s="14"/>
      <c r="I9" s="14"/>
      <c r="J9" s="14"/>
    </row>
    <row r="10" spans="1:10" ht="19.5" customHeight="1" thickBot="1" x14ac:dyDescent="0.3">
      <c r="A10" s="15" t="s">
        <v>7</v>
      </c>
      <c r="B10" s="16"/>
      <c r="C10" s="17">
        <f>SUM(C12:C31)</f>
        <v>1169.3572999999999</v>
      </c>
      <c r="D10" s="18"/>
      <c r="E10" s="17">
        <f>SUM(E12:E31)</f>
        <v>1168.8314999999998</v>
      </c>
      <c r="F10" s="18"/>
      <c r="G10" s="17">
        <f>SUM(G12:G31)</f>
        <v>2308.8789999999999</v>
      </c>
      <c r="H10" s="18"/>
      <c r="I10" s="17">
        <f>SUM(I12:I31)</f>
        <v>2340.0147000000002</v>
      </c>
      <c r="J10" s="18"/>
    </row>
    <row r="11" spans="1:10" ht="8.25" customHeight="1" thickBot="1" x14ac:dyDescent="0.25">
      <c r="A11" s="12"/>
      <c r="B11" s="2"/>
      <c r="C11" s="2"/>
      <c r="D11" s="2"/>
      <c r="E11" s="2"/>
      <c r="F11" s="2"/>
      <c r="G11" s="2"/>
      <c r="H11" s="19"/>
      <c r="I11" s="2"/>
      <c r="J11" s="19"/>
    </row>
    <row r="12" spans="1:10" ht="30" customHeight="1" thickBot="1" x14ac:dyDescent="0.25">
      <c r="A12" s="20" t="s">
        <v>18</v>
      </c>
      <c r="B12" s="24" t="s">
        <v>19</v>
      </c>
      <c r="C12" s="21">
        <v>18.666</v>
      </c>
      <c r="D12" s="29">
        <f>C12/C10</f>
        <v>1.596261467731035E-2</v>
      </c>
      <c r="E12" s="21">
        <v>19.727599999999999</v>
      </c>
      <c r="F12" s="29">
        <f>E12/E10</f>
        <v>1.6878052995662765E-2</v>
      </c>
      <c r="G12" s="21">
        <v>62.495699999999999</v>
      </c>
      <c r="H12" s="29">
        <f>G12/G10</f>
        <v>2.7067550963043106E-2</v>
      </c>
      <c r="I12" s="21">
        <v>68.535200000000003</v>
      </c>
      <c r="J12" s="29">
        <f>I12/I10</f>
        <v>2.9288363017548565E-2</v>
      </c>
    </row>
    <row r="13" spans="1:10" ht="30" customHeight="1" thickBot="1" x14ac:dyDescent="0.25">
      <c r="A13" s="20" t="s">
        <v>20</v>
      </c>
      <c r="B13" s="26" t="s">
        <v>21</v>
      </c>
      <c r="C13" s="22">
        <v>43.985100000000003</v>
      </c>
      <c r="D13" s="30">
        <f>C13/C10</f>
        <v>3.7614764965336091E-2</v>
      </c>
      <c r="E13" s="22">
        <v>44.321599999999997</v>
      </c>
      <c r="F13" s="30">
        <f>E13/E10</f>
        <v>3.7919580367230012E-2</v>
      </c>
      <c r="G13" s="22">
        <v>101.1095</v>
      </c>
      <c r="H13" s="30">
        <f>G13/G10</f>
        <v>4.3791597567477553E-2</v>
      </c>
      <c r="I13" s="22">
        <v>103.4799</v>
      </c>
      <c r="J13" s="30">
        <f>I13/I10</f>
        <v>4.4221901682925321E-2</v>
      </c>
    </row>
    <row r="14" spans="1:10" ht="30" customHeight="1" thickBot="1" x14ac:dyDescent="0.25">
      <c r="A14" s="20" t="s">
        <v>22</v>
      </c>
      <c r="B14" s="26" t="s">
        <v>23</v>
      </c>
      <c r="C14" s="22">
        <v>4.0300000000000002E-2</v>
      </c>
      <c r="D14" s="31">
        <f>C14/C10</f>
        <v>3.4463375736398109E-5</v>
      </c>
      <c r="E14" s="23">
        <v>1.5100000000000001E-2</v>
      </c>
      <c r="F14" s="31">
        <f>E14/E10</f>
        <v>1.2918885228538076E-5</v>
      </c>
      <c r="G14" s="22">
        <v>24.8523</v>
      </c>
      <c r="H14" s="30">
        <f>G14/G10</f>
        <v>1.0763794897870353E-2</v>
      </c>
      <c r="I14" s="22">
        <v>22.715399999999999</v>
      </c>
      <c r="J14" s="30">
        <f>I14/I10</f>
        <v>9.7073749152088648E-3</v>
      </c>
    </row>
    <row r="15" spans="1:10" ht="30" customHeight="1" thickBot="1" x14ac:dyDescent="0.25">
      <c r="A15" s="20" t="s">
        <v>24</v>
      </c>
      <c r="B15" s="24" t="s">
        <v>25</v>
      </c>
      <c r="C15" s="22">
        <v>250.68520000000001</v>
      </c>
      <c r="D15" s="30">
        <f>C15/C10</f>
        <v>0.21437861635618133</v>
      </c>
      <c r="E15" s="22">
        <v>264.41469999999998</v>
      </c>
      <c r="F15" s="30">
        <f>E15/E10</f>
        <v>0.22622140145949185</v>
      </c>
      <c r="G15" s="22">
        <v>181.98390000000001</v>
      </c>
      <c r="H15" s="30">
        <f>G15/G10</f>
        <v>7.8819158561362471E-2</v>
      </c>
      <c r="I15" s="22">
        <v>174.67789999999999</v>
      </c>
      <c r="J15" s="30">
        <f>I15/I10</f>
        <v>7.4648206269815304E-2</v>
      </c>
    </row>
    <row r="16" spans="1:10" ht="30" customHeight="1" thickBot="1" x14ac:dyDescent="0.25">
      <c r="A16" s="20" t="s">
        <v>0</v>
      </c>
      <c r="B16" s="25" t="s">
        <v>10</v>
      </c>
      <c r="C16" s="22">
        <v>352.42399999999998</v>
      </c>
      <c r="D16" s="30">
        <f>C16/C10</f>
        <v>0.30138264840010837</v>
      </c>
      <c r="E16" s="22">
        <v>318.20330000000001</v>
      </c>
      <c r="F16" s="30">
        <f>E16/E10</f>
        <v>0.27224052397629606</v>
      </c>
      <c r="G16" s="22">
        <v>319.85789999999997</v>
      </c>
      <c r="H16" s="30">
        <f>G16/G10</f>
        <v>0.13853385127587889</v>
      </c>
      <c r="I16" s="22">
        <v>356.77789999999999</v>
      </c>
      <c r="J16" s="30">
        <f>I16/I10</f>
        <v>0.15246823022094688</v>
      </c>
    </row>
    <row r="17" spans="1:10" ht="30" customHeight="1" thickBot="1" x14ac:dyDescent="0.25">
      <c r="A17" s="20" t="s">
        <v>26</v>
      </c>
      <c r="B17" s="26" t="s">
        <v>27</v>
      </c>
      <c r="C17" s="22">
        <v>13.7043</v>
      </c>
      <c r="D17" s="30">
        <f>C17/C10</f>
        <v>1.1719514642787112E-2</v>
      </c>
      <c r="E17" s="22">
        <v>14.196300000000001</v>
      </c>
      <c r="F17" s="30">
        <f>E17/E10</f>
        <v>1.2145719892046034E-2</v>
      </c>
      <c r="G17" s="22">
        <v>202.9726</v>
      </c>
      <c r="H17" s="30">
        <f>G17/G10</f>
        <v>8.7909587293227578E-2</v>
      </c>
      <c r="I17" s="22">
        <v>195.8416</v>
      </c>
      <c r="J17" s="30">
        <f>I17/I10</f>
        <v>8.3692465692630044E-2</v>
      </c>
    </row>
    <row r="18" spans="1:10" ht="30" customHeight="1" thickBot="1" x14ac:dyDescent="0.25">
      <c r="A18" s="20" t="s">
        <v>28</v>
      </c>
      <c r="B18" s="25" t="s">
        <v>29</v>
      </c>
      <c r="C18" s="22">
        <v>6.3433000000000002</v>
      </c>
      <c r="D18" s="30">
        <f>C18/C10</f>
        <v>5.4246037545581669E-3</v>
      </c>
      <c r="E18" s="22">
        <v>6.1951999999999998</v>
      </c>
      <c r="F18" s="30">
        <f>E18/E10</f>
        <v>5.3003362760158336E-3</v>
      </c>
      <c r="G18" s="22">
        <v>92.139600000000002</v>
      </c>
      <c r="H18" s="30">
        <f>G18/G10</f>
        <v>3.9906638676171426E-2</v>
      </c>
      <c r="I18" s="22">
        <v>94.308700000000002</v>
      </c>
      <c r="J18" s="30">
        <f>I18/I10</f>
        <v>4.0302610064800015E-2</v>
      </c>
    </row>
    <row r="19" spans="1:10" ht="30" customHeight="1" thickBot="1" x14ac:dyDescent="0.25">
      <c r="A19" s="20" t="s">
        <v>1</v>
      </c>
      <c r="B19" s="25" t="s">
        <v>30</v>
      </c>
      <c r="C19" s="22">
        <v>6.2828999999999997</v>
      </c>
      <c r="D19" s="30">
        <f>C19/C10</f>
        <v>5.3729514494842597E-3</v>
      </c>
      <c r="E19" s="22">
        <v>4.0648999999999997</v>
      </c>
      <c r="F19" s="30">
        <f>E19/E10</f>
        <v>3.4777467924161872E-3</v>
      </c>
      <c r="G19" s="22">
        <v>11.516500000000001</v>
      </c>
      <c r="H19" s="30">
        <f>G19/G10</f>
        <v>4.9879183794386802E-3</v>
      </c>
      <c r="I19" s="22">
        <v>12.0663</v>
      </c>
      <c r="J19" s="30">
        <f>I19/I10</f>
        <v>5.1565060681029052E-3</v>
      </c>
    </row>
    <row r="20" spans="1:10" ht="30" customHeight="1" thickBot="1" x14ac:dyDescent="0.25">
      <c r="A20" s="20" t="s">
        <v>31</v>
      </c>
      <c r="B20" s="25" t="s">
        <v>32</v>
      </c>
      <c r="C20" s="22">
        <v>0.87690000000000001</v>
      </c>
      <c r="D20" s="30">
        <f>C20/C10</f>
        <v>7.4989911124683623E-4</v>
      </c>
      <c r="E20" s="22">
        <v>0.50170000000000003</v>
      </c>
      <c r="F20" s="30">
        <f>E20/E10</f>
        <v>4.2923210060646049E-4</v>
      </c>
      <c r="G20" s="22">
        <v>26.338699999999999</v>
      </c>
      <c r="H20" s="30">
        <f>G20/G10</f>
        <v>1.1407570513656195E-2</v>
      </c>
      <c r="I20" s="22">
        <v>31.322500000000002</v>
      </c>
      <c r="J20" s="30">
        <f>I20/I10</f>
        <v>1.3385599671660182E-2</v>
      </c>
    </row>
    <row r="21" spans="1:10" ht="30" customHeight="1" thickBot="1" x14ac:dyDescent="0.25">
      <c r="A21" s="20" t="s">
        <v>33</v>
      </c>
      <c r="B21" s="25" t="s">
        <v>34</v>
      </c>
      <c r="C21" s="22">
        <v>0.63200000000000001</v>
      </c>
      <c r="D21" s="30">
        <f>C21/C10</f>
        <v>5.4046782792564773E-4</v>
      </c>
      <c r="E21" s="22">
        <v>0.71179999999999999</v>
      </c>
      <c r="F21" s="30">
        <f>E21/E10</f>
        <v>6.0898427189890088E-4</v>
      </c>
      <c r="G21" s="22">
        <v>46.9512</v>
      </c>
      <c r="H21" s="30">
        <f>G21/G10</f>
        <v>2.0335063032753124E-2</v>
      </c>
      <c r="I21" s="22">
        <v>48.343200000000003</v>
      </c>
      <c r="J21" s="30">
        <f>I21/I10</f>
        <v>2.0659357396344561E-2</v>
      </c>
    </row>
    <row r="22" spans="1:10" ht="30" customHeight="1" thickBot="1" x14ac:dyDescent="0.25">
      <c r="A22" s="20" t="s">
        <v>35</v>
      </c>
      <c r="B22" s="25" t="s">
        <v>36</v>
      </c>
      <c r="C22" s="22">
        <v>95.037800000000004</v>
      </c>
      <c r="D22" s="30">
        <f>C22/C10</f>
        <v>8.1273533760810326E-2</v>
      </c>
      <c r="E22" s="22">
        <v>78.992500000000007</v>
      </c>
      <c r="F22" s="30">
        <f>E22/E10</f>
        <v>6.7582453073860543E-2</v>
      </c>
      <c r="G22" s="22">
        <v>140.9496</v>
      </c>
      <c r="H22" s="30">
        <f>G22/G10</f>
        <v>6.1046767717147586E-2</v>
      </c>
      <c r="I22" s="22">
        <v>130.40270000000001</v>
      </c>
      <c r="J22" s="30">
        <f>I22/I10</f>
        <v>5.5727299490896359E-2</v>
      </c>
    </row>
    <row r="23" spans="1:10" ht="30" customHeight="1" thickBot="1" x14ac:dyDescent="0.25">
      <c r="A23" s="20" t="s">
        <v>37</v>
      </c>
      <c r="B23" s="25" t="s">
        <v>38</v>
      </c>
      <c r="C23" s="22">
        <v>2.2376999999999998</v>
      </c>
      <c r="D23" s="32">
        <f>C23/C10</f>
        <v>1.9136152825145916E-3</v>
      </c>
      <c r="E23" s="22">
        <v>0.87060000000000004</v>
      </c>
      <c r="F23" s="32">
        <f>E23/E10</f>
        <v>7.4484645562683776E-4</v>
      </c>
      <c r="G23" s="22">
        <v>24.7728</v>
      </c>
      <c r="H23" s="30">
        <f>G23/G10</f>
        <v>1.0729362604103551E-2</v>
      </c>
      <c r="I23" s="22">
        <v>27.499300000000002</v>
      </c>
      <c r="J23" s="30">
        <f>I23/I10</f>
        <v>1.1751763781654876E-2</v>
      </c>
    </row>
    <row r="24" spans="1:10" ht="30" customHeight="1" thickBot="1" x14ac:dyDescent="0.25">
      <c r="A24" s="20" t="s">
        <v>2</v>
      </c>
      <c r="B24" s="26" t="s">
        <v>39</v>
      </c>
      <c r="C24" s="22">
        <v>11.544</v>
      </c>
      <c r="D24" s="30">
        <f>C24/C10</f>
        <v>9.872089565781136E-3</v>
      </c>
      <c r="E24" s="22">
        <v>8.0432000000000006</v>
      </c>
      <c r="F24" s="30">
        <f>E24/E10</f>
        <v>6.8814024947137396E-3</v>
      </c>
      <c r="G24" s="22">
        <v>44.753999999999998</v>
      </c>
      <c r="H24" s="30">
        <f>G24/G10</f>
        <v>1.9383432392949131E-2</v>
      </c>
      <c r="I24" s="22">
        <v>42.7483</v>
      </c>
      <c r="J24" s="30">
        <f>I24/I10</f>
        <v>1.8268389510544526E-2</v>
      </c>
    </row>
    <row r="25" spans="1:10" ht="30" customHeight="1" thickBot="1" x14ac:dyDescent="0.25">
      <c r="A25" s="20" t="s">
        <v>3</v>
      </c>
      <c r="B25" s="24" t="s">
        <v>40</v>
      </c>
      <c r="C25" s="22">
        <v>148.25059999999999</v>
      </c>
      <c r="D25" s="30">
        <f>C25/C10</f>
        <v>0.12677955659916776</v>
      </c>
      <c r="E25" s="22">
        <v>199.26849999999999</v>
      </c>
      <c r="F25" s="30">
        <f>E25/E10</f>
        <v>0.17048522391807547</v>
      </c>
      <c r="G25" s="22">
        <v>134.0215</v>
      </c>
      <c r="H25" s="30">
        <f>G25/G10</f>
        <v>5.8046134076320158E-2</v>
      </c>
      <c r="I25" s="22">
        <v>133.26830000000001</v>
      </c>
      <c r="J25" s="30">
        <f>I25/I10</f>
        <v>5.6951907182463429E-2</v>
      </c>
    </row>
    <row r="26" spans="1:10" ht="30" customHeight="1" thickBot="1" x14ac:dyDescent="0.25">
      <c r="A26" s="20" t="s">
        <v>4</v>
      </c>
      <c r="B26" s="26" t="s">
        <v>41</v>
      </c>
      <c r="C26" s="22">
        <v>158.37549999999999</v>
      </c>
      <c r="D26" s="30">
        <f>C26/C10</f>
        <v>0.13543807354689624</v>
      </c>
      <c r="E26" s="22">
        <v>133.08590000000001</v>
      </c>
      <c r="F26" s="30">
        <f>E26/E10</f>
        <v>0.1138623488501123</v>
      </c>
      <c r="G26" s="22">
        <v>171.13030000000001</v>
      </c>
      <c r="H26" s="30">
        <f>G26/G10</f>
        <v>7.4118349207559178E-2</v>
      </c>
      <c r="I26" s="22">
        <v>158.7329</v>
      </c>
      <c r="J26" s="30">
        <f>I26/I10</f>
        <v>6.7834146511985577E-2</v>
      </c>
    </row>
    <row r="27" spans="1:10" ht="30" customHeight="1" thickBot="1" x14ac:dyDescent="0.25">
      <c r="A27" s="20" t="s">
        <v>42</v>
      </c>
      <c r="B27" s="26" t="s">
        <v>43</v>
      </c>
      <c r="C27" s="22">
        <v>22.278700000000001</v>
      </c>
      <c r="D27" s="30">
        <f>C27/C10</f>
        <v>1.9052089553808747E-2</v>
      </c>
      <c r="E27" s="22">
        <v>23.8399</v>
      </c>
      <c r="F27" s="30">
        <f>E27/E10</f>
        <v>2.0396353109922178E-2</v>
      </c>
      <c r="G27" s="22">
        <v>429.56779999999998</v>
      </c>
      <c r="H27" s="30">
        <f>G27/G10</f>
        <v>0.18605037336300428</v>
      </c>
      <c r="I27" s="22">
        <v>395.56020000000001</v>
      </c>
      <c r="J27" s="30">
        <f>I27/I10</f>
        <v>0.16904175858382428</v>
      </c>
    </row>
    <row r="28" spans="1:10" ht="30" customHeight="1" thickBot="1" x14ac:dyDescent="0.25">
      <c r="A28" s="20" t="s">
        <v>44</v>
      </c>
      <c r="B28" s="26" t="s">
        <v>45</v>
      </c>
      <c r="C28" s="22">
        <v>11.963900000000001</v>
      </c>
      <c r="D28" s="30">
        <f>C28/C10</f>
        <v>1.0231175706518445E-2</v>
      </c>
      <c r="E28" s="22">
        <v>11.365399999999999</v>
      </c>
      <c r="F28" s="30">
        <f>E28/E10</f>
        <v>9.7237283560547456E-3</v>
      </c>
      <c r="G28" s="22">
        <v>177.66980000000001</v>
      </c>
      <c r="H28" s="30">
        <f>G28/G10</f>
        <v>7.6950676064012027E-2</v>
      </c>
      <c r="I28" s="22">
        <v>227.50290000000001</v>
      </c>
      <c r="J28" s="30">
        <f>I28/I10</f>
        <v>9.7222850779527151E-2</v>
      </c>
    </row>
    <row r="29" spans="1:10" ht="30" customHeight="1" thickBot="1" x14ac:dyDescent="0.25">
      <c r="A29" s="20" t="s">
        <v>46</v>
      </c>
      <c r="B29" s="26" t="s">
        <v>47</v>
      </c>
      <c r="C29" s="22">
        <v>22.2197</v>
      </c>
      <c r="D29" s="30">
        <f>C29/C10</f>
        <v>1.900163448759417E-2</v>
      </c>
      <c r="E29" s="22">
        <v>34.228099999999998</v>
      </c>
      <c r="F29" s="30">
        <f>E29/E10</f>
        <v>2.9284032813968484E-2</v>
      </c>
      <c r="G29" s="22">
        <v>56.188000000000002</v>
      </c>
      <c r="H29" s="30">
        <f>G29/G10</f>
        <v>2.4335619146780757E-2</v>
      </c>
      <c r="I29" s="22">
        <v>61.1815</v>
      </c>
      <c r="J29" s="30">
        <f>I29/I10</f>
        <v>2.6145775921835018E-2</v>
      </c>
    </row>
    <row r="30" spans="1:10" ht="30" customHeight="1" thickBot="1" x14ac:dyDescent="0.25">
      <c r="A30" s="20" t="s">
        <v>48</v>
      </c>
      <c r="B30" s="26" t="s">
        <v>49</v>
      </c>
      <c r="C30" s="22">
        <v>3.4674999999999998</v>
      </c>
      <c r="D30" s="30">
        <f>C30/C10</f>
        <v>2.9653041033737082E-3</v>
      </c>
      <c r="E30" s="22">
        <v>6.5355999999999996</v>
      </c>
      <c r="F30" s="30">
        <f>E30/E10</f>
        <v>5.5915673046114866E-3</v>
      </c>
      <c r="G30" s="22">
        <v>59.525599999999997</v>
      </c>
      <c r="H30" s="30">
        <f>G30/G10</f>
        <v>2.5781169130127651E-2</v>
      </c>
      <c r="I30" s="22">
        <v>54.581000000000003</v>
      </c>
      <c r="J30" s="30">
        <f>I30/I10</f>
        <v>2.3325067145945708E-2</v>
      </c>
    </row>
    <row r="31" spans="1:10" ht="30" customHeight="1" thickBot="1" x14ac:dyDescent="0.25">
      <c r="A31" s="27" t="s">
        <v>50</v>
      </c>
      <c r="B31" s="33" t="s">
        <v>51</v>
      </c>
      <c r="C31" s="22">
        <v>0.34189999999999998</v>
      </c>
      <c r="D31" s="32">
        <f>C31/C10</f>
        <v>2.9238283286040976E-4</v>
      </c>
      <c r="E31" s="22">
        <v>0.24959999999999999</v>
      </c>
      <c r="F31" s="32">
        <f>E31/E10</f>
        <v>2.1354660616179494E-4</v>
      </c>
      <c r="G31" s="28">
        <v>8.1699999999999995E-2</v>
      </c>
      <c r="H31" s="32">
        <f>G31/G10</f>
        <v>3.5385137116323545E-5</v>
      </c>
      <c r="I31" s="22">
        <v>0.46899999999999997</v>
      </c>
      <c r="J31" s="32">
        <f>I31/I10</f>
        <v>2.0042609134036634E-4</v>
      </c>
    </row>
    <row r="32" spans="1:10" ht="30" customHeight="1" x14ac:dyDescent="0.2"/>
  </sheetData>
  <mergeCells count="10">
    <mergeCell ref="C7:D7"/>
    <mergeCell ref="E7:F7"/>
    <mergeCell ref="G7:H7"/>
    <mergeCell ref="I7:J7"/>
    <mergeCell ref="A1:J1"/>
    <mergeCell ref="A2:J2"/>
    <mergeCell ref="A3:J3"/>
    <mergeCell ref="C6:F6"/>
    <mergeCell ref="G6:J6"/>
    <mergeCell ref="A4:J4"/>
  </mergeCells>
  <phoneticPr fontId="1" type="noConversion"/>
  <pageMargins left="0.64" right="0.3" top="0.42" bottom="0.44" header="0.23" footer="0.2"/>
  <pageSetup paperSize="9" firstPageNumber="2" orientation="portrait" useFirstPageNumber="1" r:id="rId1"/>
  <headerFooter alignWithMargins="0">
    <oddHeader>&amp;R&amp;8&amp;U¶ñ³ýÇÏ 6</oddHeader>
    <oddFooter>&amp;C7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Vladimir Safaryan S.</cp:lastModifiedBy>
  <cp:lastPrinted>2018-11-13T07:22:18Z</cp:lastPrinted>
  <dcterms:created xsi:type="dcterms:W3CDTF">2001-03-30T11:12:39Z</dcterms:created>
  <dcterms:modified xsi:type="dcterms:W3CDTF">2019-08-15T08:55:12Z</dcterms:modified>
</cp:coreProperties>
</file>