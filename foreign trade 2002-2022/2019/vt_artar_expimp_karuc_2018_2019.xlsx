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rmen_movsesyan.CUSTOMS\Desktop\girq\"/>
    </mc:Choice>
  </mc:AlternateContent>
  <bookViews>
    <workbookView xWindow="6420" yWindow="105" windowWidth="6480" windowHeight="3810"/>
  </bookViews>
  <sheets>
    <sheet name="ax6" sheetId="24" r:id="rId1"/>
  </sheets>
  <definedNames>
    <definedName name="_xlnm._FilterDatabase" localSheetId="0" hidden="1">'ax6'!#REF!</definedName>
  </definedNames>
  <calcPr calcId="152511"/>
</workbook>
</file>

<file path=xl/calcChain.xml><?xml version="1.0" encoding="utf-8"?>
<calcChain xmlns="http://schemas.openxmlformats.org/spreadsheetml/2006/main">
  <c r="I10" i="24" l="1"/>
  <c r="J29" i="24"/>
  <c r="G10" i="24"/>
  <c r="H29" i="24"/>
  <c r="E10" i="24"/>
  <c r="F22" i="24"/>
  <c r="C10" i="24"/>
  <c r="D18" i="24"/>
  <c r="H23" i="24"/>
  <c r="J21" i="24"/>
  <c r="H17" i="24"/>
  <c r="J13" i="24"/>
  <c r="H13" i="24"/>
  <c r="H30" i="24"/>
  <c r="H16" i="24"/>
  <c r="J25" i="24"/>
  <c r="J24" i="24"/>
  <c r="J17" i="24"/>
  <c r="H21" i="24"/>
  <c r="J16" i="24"/>
  <c r="J12" i="24"/>
  <c r="J28" i="24"/>
  <c r="J27" i="24"/>
  <c r="J20" i="24"/>
  <c r="H14" i="24"/>
  <c r="J23" i="24"/>
  <c r="J15" i="24"/>
  <c r="J31" i="24"/>
  <c r="H20" i="24"/>
  <c r="H28" i="24"/>
  <c r="H27" i="24"/>
  <c r="J18" i="24"/>
  <c r="H31" i="24"/>
  <c r="H24" i="24"/>
  <c r="D23" i="24"/>
  <c r="D16" i="24"/>
  <c r="D20" i="24"/>
  <c r="D19" i="24"/>
  <c r="D13" i="24"/>
  <c r="D26" i="24"/>
  <c r="D22" i="24"/>
  <c r="J14" i="24"/>
  <c r="H18" i="24"/>
  <c r="D25" i="24"/>
  <c r="D27" i="24"/>
  <c r="D24" i="24"/>
  <c r="J30" i="24"/>
  <c r="H26" i="24"/>
  <c r="H22" i="24"/>
  <c r="F24" i="24"/>
  <c r="F31" i="24"/>
  <c r="F20" i="24"/>
  <c r="F25" i="24"/>
  <c r="F16" i="24"/>
  <c r="F23" i="24"/>
  <c r="F17" i="24"/>
  <c r="F26" i="24"/>
  <c r="F13" i="24"/>
  <c r="F21" i="24"/>
  <c r="F28" i="24"/>
  <c r="F12" i="24"/>
  <c r="D31" i="24"/>
  <c r="J26" i="24"/>
  <c r="J19" i="24"/>
  <c r="J22" i="24"/>
  <c r="H12" i="24"/>
  <c r="H19" i="24"/>
  <c r="H25" i="24"/>
  <c r="H15" i="24"/>
  <c r="F15" i="24"/>
  <c r="F18" i="24"/>
  <c r="F27" i="24"/>
  <c r="F30" i="24"/>
  <c r="F14" i="24"/>
  <c r="F29" i="24"/>
  <c r="F19" i="24"/>
  <c r="D28" i="24"/>
  <c r="D15" i="24"/>
  <c r="D21" i="24"/>
  <c r="D12" i="24"/>
  <c r="D30" i="24"/>
  <c r="D29" i="24"/>
  <c r="D17" i="24"/>
  <c r="D14" i="24"/>
</calcChain>
</file>

<file path=xl/sharedStrings.xml><?xml version="1.0" encoding="utf-8"?>
<sst xmlns="http://schemas.openxmlformats.org/spreadsheetml/2006/main" count="62" uniqueCount="55">
  <si>
    <t>25-27</t>
  </si>
  <si>
    <t>41-43</t>
  </si>
  <si>
    <t>68-70</t>
  </si>
  <si>
    <t>71</t>
  </si>
  <si>
    <t>72-83</t>
  </si>
  <si>
    <t>Արտահանում</t>
  </si>
  <si>
    <t>Ներմուծում</t>
  </si>
  <si>
    <t>ԸՆԴԱՄԵՆԸ</t>
  </si>
  <si>
    <t>(մլն. ԱՄՆ դոլար)</t>
  </si>
  <si>
    <t>կոդը</t>
  </si>
  <si>
    <t>Հանքանյութեր</t>
  </si>
  <si>
    <t>ՀՀ արտահանման եւ ներմուծման կառուցվածքը</t>
  </si>
  <si>
    <t>ԱՏԳ</t>
  </si>
  <si>
    <t>Ապրանքախմբեր</t>
  </si>
  <si>
    <t>ԱԱ -ի</t>
  </si>
  <si>
    <t>արժեքը</t>
  </si>
  <si>
    <t>արտ. մասը, % -ով</t>
  </si>
  <si>
    <t>ներ. մասը, % -ով</t>
  </si>
  <si>
    <t>01-05</t>
  </si>
  <si>
    <t xml:space="preserve">Կենդանի կենդանիներ և կենդ.սննդամթերք </t>
  </si>
  <si>
    <t>06-14</t>
  </si>
  <si>
    <t>Բուսական ծագմամբ մթերքներ</t>
  </si>
  <si>
    <t>15</t>
  </si>
  <si>
    <t>Կենդ. կամ բուս. ճարպ և յուղ</t>
  </si>
  <si>
    <t>16-24</t>
  </si>
  <si>
    <t>Պատրաստի սննդամթերք, ալկոհոլ. և ոչ ալկոհոլային խմիչքներ, ծխախոտ</t>
  </si>
  <si>
    <t>28-38</t>
  </si>
  <si>
    <t>Քիմիական և հարակից ճյուղերի արտադրանք</t>
  </si>
  <si>
    <t>39-40</t>
  </si>
  <si>
    <t>Պոլիմերներ, պլաստմասսա, կաուչուկ և արտադրանք</t>
  </si>
  <si>
    <t>Մորթի, կաշի և արտադրանք</t>
  </si>
  <si>
    <t>44-46</t>
  </si>
  <si>
    <t>Փայտ և արտադրանք</t>
  </si>
  <si>
    <t>47-49</t>
  </si>
  <si>
    <t>Թուղթ, ստվարաթուղո և արտադրանք</t>
  </si>
  <si>
    <t>50-63</t>
  </si>
  <si>
    <t>Տեքստիլ և արտադրանք</t>
  </si>
  <si>
    <t>64-67</t>
  </si>
  <si>
    <t>Կոշկեղեն, գլխարկներ, հովանոցներ</t>
  </si>
  <si>
    <t>Քարե, գիպսե, ցեմենտե արտադրանք</t>
  </si>
  <si>
    <t>Թանկ. ու ոչ թանկ. քարեր, թանկ. մետաղներ և դրանցից արտադրանք</t>
  </si>
  <si>
    <t>Ոչ թանկարժեք մետաղներ և  արտադրանք</t>
  </si>
  <si>
    <t>84-85</t>
  </si>
  <si>
    <t>Մեքենաներ, սարքավորումներ, մեխանիզմներ</t>
  </si>
  <si>
    <t>86-89</t>
  </si>
  <si>
    <t>Փոխադրամիջոցներ</t>
  </si>
  <si>
    <t>90-92</t>
  </si>
  <si>
    <t>Օպտիկա, ֆոտո, կինո, չափիչ, բժշկական սարքավորումներ</t>
  </si>
  <si>
    <t>93-96</t>
  </si>
  <si>
    <t>Արդյունաբերական այլ արտադրանք</t>
  </si>
  <si>
    <t>97</t>
  </si>
  <si>
    <t>Արվեստի գործեր և հնություն</t>
  </si>
  <si>
    <t xml:space="preserve"> արտաքին և փոխադարձ առեւտրում</t>
  </si>
  <si>
    <t>2018թ.</t>
  </si>
  <si>
    <t>2019թ.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</si>
</sst>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0.0"/>
    <numFmt numFmtId="165" formatCode="0.000"/>
    <numFmt numFmtId="166" formatCode="0.0%"/>
  </numFmts>
  <fonts count="11" x14ac:knownFonts="1">
    <font>
      <sz val="10"/>
      <name val="Arial Armenian"/>
    </font>
    <font>
      <sz val="8"/>
      <name val="Arial Armenian"/>
    </font>
    <font>
      <b/>
      <sz val="12"/>
      <name val="GHEA Grapalat"/>
      <family val="3"/>
    </font>
    <font>
      <sz val="10"/>
      <name val="GHEA Grapalat"/>
      <family val="3"/>
    </font>
    <font>
      <b/>
      <sz val="10"/>
      <name val="GHEA Grapalat"/>
      <family val="3"/>
    </font>
    <font>
      <b/>
      <sz val="11"/>
      <name val="GHEA Grapalat"/>
      <family val="3"/>
    </font>
    <font>
      <sz val="5"/>
      <name val="GHEA Grapalat"/>
      <family val="3"/>
    </font>
    <font>
      <sz val="9"/>
      <name val="GHEA Grapalat"/>
      <family val="3"/>
    </font>
    <font>
      <sz val="7"/>
      <name val="GHEA Grapalat"/>
      <family val="3"/>
    </font>
    <font>
      <b/>
      <sz val="5"/>
      <name val="GHEA Grapalat"/>
      <family val="3"/>
    </font>
    <font>
      <i/>
      <sz val="9"/>
      <name val="Arial Armenian"/>
      <family val="2"/>
    </font>
  </fonts>
  <fills count="2">
    <fill>
      <patternFill patternType="none"/>
    </fill>
    <fill>
      <patternFill patternType="gray125"/>
    </fill>
  </fills>
  <borders count="16">
    <border>
      <left/>
      <right/>
      <top/>
      <bottom/>
      <diagonal/>
    </border>
    <border>
      <left style="double">
        <color indexed="64"/>
      </left>
      <right style="double">
        <color indexed="64"/>
      </right>
      <top style="double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double">
        <color indexed="64"/>
      </left>
      <right style="double">
        <color indexed="64"/>
      </right>
      <top/>
      <bottom style="double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double">
        <color indexed="64"/>
      </left>
      <right/>
      <top style="double">
        <color indexed="64"/>
      </top>
      <bottom style="double">
        <color indexed="64"/>
      </bottom>
      <diagonal/>
    </border>
    <border>
      <left/>
      <right style="double">
        <color indexed="64"/>
      </right>
      <top style="double">
        <color indexed="64"/>
      </top>
      <bottom style="double">
        <color indexed="64"/>
      </bottom>
      <diagonal/>
    </border>
    <border>
      <left/>
      <right/>
      <top style="double">
        <color indexed="64"/>
      </top>
      <bottom style="double">
        <color indexed="64"/>
      </bottom>
      <diagonal/>
    </border>
    <border>
      <left style="double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double">
        <color indexed="64"/>
      </left>
      <right style="double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42">
    <xf numFmtId="0" fontId="0" fillId="0" borderId="0" xfId="0"/>
    <xf numFmtId="0" fontId="3" fillId="0" borderId="0" xfId="0" applyFont="1"/>
    <xf numFmtId="0" fontId="6" fillId="0" borderId="0" xfId="0" applyFont="1"/>
    <xf numFmtId="49" fontId="3" fillId="0" borderId="0" xfId="0" applyNumberFormat="1" applyFont="1"/>
    <xf numFmtId="49" fontId="4" fillId="0" borderId="1" xfId="0" applyNumberFormat="1" applyFont="1" applyBorder="1" applyAlignment="1">
      <alignment horizontal="center"/>
    </xf>
    <xf numFmtId="0" fontId="4" fillId="0" borderId="1" xfId="0" applyFont="1" applyBorder="1" applyAlignment="1">
      <alignment horizontal="center" vertical="center"/>
    </xf>
    <xf numFmtId="49" fontId="4" fillId="0" borderId="12" xfId="0" applyNumberFormat="1" applyFont="1" applyBorder="1" applyAlignment="1">
      <alignment horizontal="center"/>
    </xf>
    <xf numFmtId="0" fontId="4" fillId="0" borderId="12" xfId="0" applyFont="1" applyBorder="1" applyAlignment="1">
      <alignment horizontal="center" vertical="center"/>
    </xf>
    <xf numFmtId="49" fontId="4" fillId="0" borderId="5" xfId="0" applyNumberFormat="1" applyFont="1" applyBorder="1" applyAlignment="1">
      <alignment horizontal="center" vertical="center" wrapText="1"/>
    </xf>
    <xf numFmtId="0" fontId="4" fillId="0" borderId="5" xfId="0" applyFont="1" applyBorder="1" applyAlignment="1">
      <alignment horizontal="center" vertical="center"/>
    </xf>
    <xf numFmtId="0" fontId="8" fillId="0" borderId="11" xfId="0" applyFont="1" applyBorder="1" applyAlignment="1">
      <alignment horizontal="center" vertical="center" wrapText="1"/>
    </xf>
    <xf numFmtId="0" fontId="8" fillId="0" borderId="11" xfId="0" quotePrefix="1" applyFont="1" applyBorder="1" applyAlignment="1">
      <alignment horizontal="center" vertical="center" wrapText="1"/>
    </xf>
    <xf numFmtId="49" fontId="6" fillId="0" borderId="0" xfId="0" applyNumberFormat="1" applyFont="1"/>
    <xf numFmtId="0" fontId="9" fillId="0" borderId="0" xfId="0" applyFont="1"/>
    <xf numFmtId="0" fontId="9" fillId="0" borderId="0" xfId="0" quotePrefix="1" applyFont="1" applyAlignment="1">
      <alignment horizontal="left"/>
    </xf>
    <xf numFmtId="49" fontId="4" fillId="0" borderId="13" xfId="0" applyNumberFormat="1" applyFont="1" applyBorder="1" applyAlignment="1">
      <alignment horizontal="centerContinuous"/>
    </xf>
    <xf numFmtId="0" fontId="7" fillId="0" borderId="4" xfId="0" applyFont="1" applyBorder="1" applyAlignment="1">
      <alignment horizontal="centerContinuous"/>
    </xf>
    <xf numFmtId="3" fontId="4" fillId="0" borderId="2" xfId="0" applyNumberFormat="1" applyFont="1" applyBorder="1"/>
    <xf numFmtId="3" fontId="4" fillId="0" borderId="3" xfId="0" applyNumberFormat="1" applyFont="1" applyBorder="1"/>
    <xf numFmtId="0" fontId="6" fillId="0" borderId="0" xfId="0" quotePrefix="1" applyFont="1" applyAlignment="1">
      <alignment horizontal="left"/>
    </xf>
    <xf numFmtId="49" fontId="3" fillId="0" borderId="7" xfId="0" applyNumberFormat="1" applyFont="1" applyBorder="1" applyAlignment="1">
      <alignment horizontal="left" vertical="center"/>
    </xf>
    <xf numFmtId="164" fontId="3" fillId="0" borderId="2" xfId="0" applyNumberFormat="1" applyFont="1" applyBorder="1" applyAlignment="1">
      <alignment vertical="center"/>
    </xf>
    <xf numFmtId="164" fontId="3" fillId="0" borderId="14" xfId="0" applyNumberFormat="1" applyFont="1" applyBorder="1" applyAlignment="1">
      <alignment vertical="center"/>
    </xf>
    <xf numFmtId="165" fontId="3" fillId="0" borderId="14" xfId="0" applyNumberFormat="1" applyFont="1" applyBorder="1" applyAlignment="1">
      <alignment vertical="center"/>
    </xf>
    <xf numFmtId="0" fontId="7" fillId="0" borderId="7" xfId="0" quotePrefix="1" applyFont="1" applyBorder="1" applyAlignment="1">
      <alignment horizontal="left" vertical="center" wrapText="1"/>
    </xf>
    <xf numFmtId="0" fontId="7" fillId="0" borderId="7" xfId="0" applyFont="1" applyBorder="1" applyAlignment="1">
      <alignment vertical="center" wrapText="1"/>
    </xf>
    <xf numFmtId="0" fontId="7" fillId="0" borderId="7" xfId="0" applyFont="1" applyBorder="1" applyAlignment="1">
      <alignment horizontal="left" vertical="center" wrapText="1"/>
    </xf>
    <xf numFmtId="49" fontId="3" fillId="0" borderId="6" xfId="0" applyNumberFormat="1" applyFont="1" applyBorder="1" applyAlignment="1">
      <alignment horizontal="left" vertical="center"/>
    </xf>
    <xf numFmtId="2" fontId="3" fillId="0" borderId="14" xfId="0" applyNumberFormat="1" applyFont="1" applyBorder="1" applyAlignment="1">
      <alignment vertical="center"/>
    </xf>
    <xf numFmtId="166" fontId="10" fillId="0" borderId="3" xfId="0" applyNumberFormat="1" applyFont="1" applyBorder="1" applyAlignment="1">
      <alignment vertical="center"/>
    </xf>
    <xf numFmtId="166" fontId="10" fillId="0" borderId="15" xfId="0" applyNumberFormat="1" applyFont="1" applyBorder="1" applyAlignment="1">
      <alignment vertical="center"/>
    </xf>
    <xf numFmtId="164" fontId="10" fillId="0" borderId="15" xfId="0" applyNumberFormat="1" applyFont="1" applyBorder="1" applyAlignment="1">
      <alignment vertical="center"/>
    </xf>
    <xf numFmtId="10" fontId="10" fillId="0" borderId="15" xfId="0" applyNumberFormat="1" applyFont="1" applyBorder="1" applyAlignment="1">
      <alignment vertical="center"/>
    </xf>
    <xf numFmtId="0" fontId="7" fillId="0" borderId="6" xfId="0" applyFont="1" applyBorder="1" applyAlignment="1">
      <alignment horizontal="left" vertical="center" wrapText="1"/>
    </xf>
    <xf numFmtId="0" fontId="2" fillId="0" borderId="0" xfId="0" applyFont="1" applyAlignment="1">
      <alignment horizontal="center"/>
    </xf>
    <xf numFmtId="0" fontId="5" fillId="0" borderId="8" xfId="0" applyFont="1" applyBorder="1" applyAlignment="1">
      <alignment horizontal="center"/>
    </xf>
    <xf numFmtId="0" fontId="5" fillId="0" borderId="10" xfId="0" applyFont="1" applyBorder="1" applyAlignment="1">
      <alignment horizontal="center"/>
    </xf>
    <xf numFmtId="0" fontId="5" fillId="0" borderId="9" xfId="0" applyFont="1" applyBorder="1" applyAlignment="1">
      <alignment horizontal="center"/>
    </xf>
    <xf numFmtId="0" fontId="4" fillId="0" borderId="8" xfId="0" applyFont="1" applyBorder="1" applyAlignment="1">
      <alignment horizontal="center"/>
    </xf>
    <xf numFmtId="0" fontId="4" fillId="0" borderId="9" xfId="0" applyFont="1" applyBorder="1" applyAlignment="1">
      <alignment horizontal="center"/>
    </xf>
    <xf numFmtId="49" fontId="2" fillId="0" borderId="0" xfId="0" applyNumberFormat="1" applyFont="1" applyAlignment="1">
      <alignment horizontal="center"/>
    </xf>
    <xf numFmtId="49" fontId="5" fillId="0" borderId="0" xfId="0" applyNumberFormat="1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2"/>
  <sheetViews>
    <sheetView tabSelected="1" zoomScale="90" workbookViewId="0">
      <selection activeCell="O20" sqref="O20"/>
    </sheetView>
  </sheetViews>
  <sheetFormatPr defaultRowHeight="12.75" x14ac:dyDescent="0.2"/>
  <cols>
    <col min="1" max="1" width="6" customWidth="1"/>
    <col min="2" max="2" width="31.5703125" customWidth="1"/>
    <col min="3" max="3" width="7.28515625" customWidth="1"/>
    <col min="4" max="4" width="7.85546875" customWidth="1"/>
    <col min="5" max="5" width="7.42578125" customWidth="1"/>
    <col min="6" max="6" width="7.85546875" customWidth="1"/>
    <col min="7" max="7" width="6.28515625" bestFit="1" customWidth="1"/>
    <col min="8" max="8" width="7.28515625" customWidth="1"/>
    <col min="9" max="9" width="6.140625" bestFit="1" customWidth="1"/>
    <col min="10" max="10" width="7.28515625" customWidth="1"/>
    <col min="34" max="34" width="0.140625" customWidth="1"/>
  </cols>
  <sheetData>
    <row r="1" spans="1:10" ht="17.25" x14ac:dyDescent="0.3">
      <c r="A1" s="40" t="s">
        <v>11</v>
      </c>
      <c r="B1" s="40"/>
      <c r="C1" s="40"/>
      <c r="D1" s="40"/>
      <c r="E1" s="40"/>
      <c r="F1" s="40"/>
      <c r="G1" s="40"/>
      <c r="H1" s="40"/>
      <c r="I1" s="40"/>
      <c r="J1" s="40"/>
    </row>
    <row r="2" spans="1:10" ht="17.25" x14ac:dyDescent="0.3">
      <c r="A2" s="40" t="s">
        <v>52</v>
      </c>
      <c r="B2" s="40"/>
      <c r="C2" s="40"/>
      <c r="D2" s="40"/>
      <c r="E2" s="40"/>
      <c r="F2" s="40"/>
      <c r="G2" s="40"/>
      <c r="H2" s="40"/>
      <c r="I2" s="40"/>
      <c r="J2" s="40"/>
    </row>
    <row r="3" spans="1:10" ht="17.25" x14ac:dyDescent="0.3">
      <c r="A3" s="34" t="s">
        <v>8</v>
      </c>
      <c r="B3" s="34"/>
      <c r="C3" s="34"/>
      <c r="D3" s="34"/>
      <c r="E3" s="34"/>
      <c r="F3" s="34"/>
      <c r="G3" s="34"/>
      <c r="H3" s="34"/>
      <c r="I3" s="34"/>
      <c r="J3" s="34"/>
    </row>
    <row r="4" spans="1:10" ht="16.5" x14ac:dyDescent="0.3">
      <c r="A4" s="41"/>
      <c r="B4" s="41"/>
      <c r="C4" s="41"/>
      <c r="D4" s="41"/>
      <c r="E4" s="41"/>
      <c r="F4" s="41"/>
      <c r="G4" s="41"/>
      <c r="H4" s="41"/>
      <c r="I4" s="41"/>
      <c r="J4" s="41"/>
    </row>
    <row r="5" spans="1:10" ht="14.25" thickBot="1" x14ac:dyDescent="0.3">
      <c r="A5" s="3"/>
      <c r="B5" s="1"/>
      <c r="C5" s="1"/>
      <c r="D5" s="1"/>
      <c r="E5" s="1"/>
      <c r="F5" s="1"/>
      <c r="G5" s="1"/>
      <c r="H5" s="1"/>
      <c r="I5" s="1"/>
      <c r="J5" s="1"/>
    </row>
    <row r="6" spans="1:10" ht="18" thickTop="1" thickBot="1" x14ac:dyDescent="0.35">
      <c r="A6" s="4" t="s">
        <v>12</v>
      </c>
      <c r="B6" s="5" t="s">
        <v>13</v>
      </c>
      <c r="C6" s="35" t="s">
        <v>5</v>
      </c>
      <c r="D6" s="36"/>
      <c r="E6" s="36"/>
      <c r="F6" s="37"/>
      <c r="G6" s="35" t="s">
        <v>6</v>
      </c>
      <c r="H6" s="36"/>
      <c r="I6" s="36"/>
      <c r="J6" s="37"/>
    </row>
    <row r="7" spans="1:10" ht="15.75" thickTop="1" thickBot="1" x14ac:dyDescent="0.3">
      <c r="A7" s="6" t="s">
        <v>14</v>
      </c>
      <c r="B7" s="7"/>
      <c r="C7" s="38" t="s">
        <v>53</v>
      </c>
      <c r="D7" s="39"/>
      <c r="E7" s="38" t="s">
        <v>54</v>
      </c>
      <c r="F7" s="39"/>
      <c r="G7" s="38" t="s">
        <v>53</v>
      </c>
      <c r="H7" s="39"/>
      <c r="I7" s="38" t="s">
        <v>54</v>
      </c>
      <c r="J7" s="39"/>
    </row>
    <row r="8" spans="1:10" ht="19.5" thickTop="1" thickBot="1" x14ac:dyDescent="0.25">
      <c r="A8" s="8" t="s">
        <v>9</v>
      </c>
      <c r="B8" s="9"/>
      <c r="C8" s="10" t="s">
        <v>15</v>
      </c>
      <c r="D8" s="11" t="s">
        <v>16</v>
      </c>
      <c r="E8" s="10" t="s">
        <v>15</v>
      </c>
      <c r="F8" s="11" t="s">
        <v>16</v>
      </c>
      <c r="G8" s="10" t="s">
        <v>15</v>
      </c>
      <c r="H8" s="11" t="s">
        <v>17</v>
      </c>
      <c r="I8" s="10" t="s">
        <v>15</v>
      </c>
      <c r="J8" s="11" t="s">
        <v>17</v>
      </c>
    </row>
    <row r="9" spans="1:10" ht="6" customHeight="1" thickTop="1" thickBot="1" x14ac:dyDescent="0.25">
      <c r="A9" s="12"/>
      <c r="B9" s="2"/>
      <c r="C9" s="13"/>
      <c r="D9" s="13"/>
      <c r="E9" s="13"/>
      <c r="F9" s="13"/>
      <c r="G9" s="13"/>
      <c r="H9" s="14"/>
      <c r="I9" s="14"/>
      <c r="J9" s="14"/>
    </row>
    <row r="10" spans="1:10" ht="19.5" customHeight="1" thickBot="1" x14ac:dyDescent="0.3">
      <c r="A10" s="15" t="s">
        <v>7</v>
      </c>
      <c r="B10" s="16"/>
      <c r="C10" s="17">
        <f>SUM(C12:C31)</f>
        <v>2406.9118999999996</v>
      </c>
      <c r="D10" s="18"/>
      <c r="E10" s="17">
        <f>SUM(E12:E31)</f>
        <v>2636.604600000001</v>
      </c>
      <c r="F10" s="18"/>
      <c r="G10" s="17">
        <f>SUM(G12:G31)</f>
        <v>4965.2911999999997</v>
      </c>
      <c r="H10" s="18"/>
      <c r="I10" s="17">
        <f>SUM(I12:I31)</f>
        <v>5553.0335000000005</v>
      </c>
      <c r="J10" s="18"/>
    </row>
    <row r="11" spans="1:10" ht="8.25" customHeight="1" thickBot="1" x14ac:dyDescent="0.25">
      <c r="A11" s="12"/>
      <c r="B11" s="2"/>
      <c r="C11" s="2"/>
      <c r="D11" s="2"/>
      <c r="E11" s="2"/>
      <c r="F11" s="2"/>
      <c r="G11" s="2"/>
      <c r="H11" s="19"/>
      <c r="I11" s="2"/>
      <c r="J11" s="19"/>
    </row>
    <row r="12" spans="1:10" ht="30" customHeight="1" thickBot="1" x14ac:dyDescent="0.25">
      <c r="A12" s="20" t="s">
        <v>18</v>
      </c>
      <c r="B12" s="24" t="s">
        <v>19</v>
      </c>
      <c r="C12" s="21">
        <v>50.594900000000003</v>
      </c>
      <c r="D12" s="29">
        <f>C12/C10</f>
        <v>2.1020669680514692E-2</v>
      </c>
      <c r="E12" s="21">
        <v>51.351399999999998</v>
      </c>
      <c r="F12" s="29">
        <f>E12/E10</f>
        <v>1.947633710416798E-2</v>
      </c>
      <c r="G12" s="21">
        <v>132.01509999999999</v>
      </c>
      <c r="H12" s="29">
        <f>G12/G10</f>
        <v>2.6587584631491502E-2</v>
      </c>
      <c r="I12" s="21">
        <v>149.4289</v>
      </c>
      <c r="J12" s="29">
        <f>I12/I10</f>
        <v>2.6909418068520565E-2</v>
      </c>
    </row>
    <row r="13" spans="1:10" ht="30" customHeight="1" thickBot="1" x14ac:dyDescent="0.25">
      <c r="A13" s="20" t="s">
        <v>20</v>
      </c>
      <c r="B13" s="26" t="s">
        <v>21</v>
      </c>
      <c r="C13" s="22">
        <v>80.952399999999997</v>
      </c>
      <c r="D13" s="30">
        <f>C13/C10</f>
        <v>3.3633304152096304E-2</v>
      </c>
      <c r="E13" s="22">
        <v>95.815399999999997</v>
      </c>
      <c r="F13" s="30">
        <f>E13/E10</f>
        <v>3.6340450896581139E-2</v>
      </c>
      <c r="G13" s="22">
        <v>218.10159999999999</v>
      </c>
      <c r="H13" s="30">
        <f>G13/G10</f>
        <v>4.392523846335538E-2</v>
      </c>
      <c r="I13" s="22">
        <v>231.9545</v>
      </c>
      <c r="J13" s="30">
        <f>I13/I10</f>
        <v>4.1770772677672478E-2</v>
      </c>
    </row>
    <row r="14" spans="1:10" ht="30" customHeight="1" thickBot="1" x14ac:dyDescent="0.25">
      <c r="A14" s="20" t="s">
        <v>22</v>
      </c>
      <c r="B14" s="26" t="s">
        <v>23</v>
      </c>
      <c r="C14" s="22">
        <v>7.6999999999999999E-2</v>
      </c>
      <c r="D14" s="31">
        <f>C14/C10</f>
        <v>3.1991200010270423E-5</v>
      </c>
      <c r="E14" s="23">
        <v>5.45E-2</v>
      </c>
      <c r="F14" s="31">
        <f>E14/E10</f>
        <v>2.0670524507163485E-5</v>
      </c>
      <c r="G14" s="22">
        <v>55.289499999999997</v>
      </c>
      <c r="H14" s="30">
        <f>G14/G10</f>
        <v>1.1135197871174202E-2</v>
      </c>
      <c r="I14" s="22">
        <v>51.281700000000001</v>
      </c>
      <c r="J14" s="30">
        <f>I14/I10</f>
        <v>9.2348983668115812E-3</v>
      </c>
    </row>
    <row r="15" spans="1:10" ht="30" customHeight="1" thickBot="1" x14ac:dyDescent="0.25">
      <c r="A15" s="20" t="s">
        <v>24</v>
      </c>
      <c r="B15" s="24" t="s">
        <v>25</v>
      </c>
      <c r="C15" s="22">
        <v>553.08140000000003</v>
      </c>
      <c r="D15" s="30">
        <f>C15/C10</f>
        <v>0.22978880116052444</v>
      </c>
      <c r="E15" s="22">
        <v>642.18380000000002</v>
      </c>
      <c r="F15" s="30">
        <f>E15/E10</f>
        <v>0.24356469680740137</v>
      </c>
      <c r="G15" s="22">
        <v>399.9051</v>
      </c>
      <c r="H15" s="30">
        <f>G15/G10</f>
        <v>8.0540110114790453E-2</v>
      </c>
      <c r="I15" s="22">
        <v>437.5949</v>
      </c>
      <c r="J15" s="30">
        <f>I15/I10</f>
        <v>7.8802856132598506E-2</v>
      </c>
    </row>
    <row r="16" spans="1:10" ht="30" customHeight="1" thickBot="1" x14ac:dyDescent="0.25">
      <c r="A16" s="20" t="s">
        <v>0</v>
      </c>
      <c r="B16" s="25" t="s">
        <v>10</v>
      </c>
      <c r="C16" s="22">
        <v>659.60440000000006</v>
      </c>
      <c r="D16" s="30">
        <f>C16/C10</f>
        <v>0.27404592581888859</v>
      </c>
      <c r="E16" s="22">
        <v>742.59849999999994</v>
      </c>
      <c r="F16" s="30">
        <f>E16/E10</f>
        <v>0.28164955033454758</v>
      </c>
      <c r="G16" s="22">
        <v>723.62649999999996</v>
      </c>
      <c r="H16" s="30">
        <f>G16/G10</f>
        <v>0.1457369710763389</v>
      </c>
      <c r="I16" s="22">
        <v>806.26599999999996</v>
      </c>
      <c r="J16" s="30">
        <f>I16/I10</f>
        <v>0.1451937936264926</v>
      </c>
    </row>
    <row r="17" spans="1:10" ht="30" customHeight="1" thickBot="1" x14ac:dyDescent="0.25">
      <c r="A17" s="20" t="s">
        <v>26</v>
      </c>
      <c r="B17" s="26" t="s">
        <v>27</v>
      </c>
      <c r="C17" s="22">
        <v>28.696899999999999</v>
      </c>
      <c r="D17" s="30">
        <f>C17/C10</f>
        <v>1.1922704773697784E-2</v>
      </c>
      <c r="E17" s="22">
        <v>30.950099999999999</v>
      </c>
      <c r="F17" s="30">
        <f>E17/E10</f>
        <v>1.1738620193562579E-2</v>
      </c>
      <c r="G17" s="22">
        <v>394.80650000000003</v>
      </c>
      <c r="H17" s="30">
        <f>G17/G10</f>
        <v>7.9513261981492653E-2</v>
      </c>
      <c r="I17" s="22">
        <v>470.78120000000001</v>
      </c>
      <c r="J17" s="30">
        <f>I17/I10</f>
        <v>8.4779103169465839E-2</v>
      </c>
    </row>
    <row r="18" spans="1:10" ht="30" customHeight="1" thickBot="1" x14ac:dyDescent="0.25">
      <c r="A18" s="20" t="s">
        <v>28</v>
      </c>
      <c r="B18" s="25" t="s">
        <v>29</v>
      </c>
      <c r="C18" s="22">
        <v>14.274800000000001</v>
      </c>
      <c r="D18" s="30">
        <f>C18/C10</f>
        <v>5.9307530117741342E-3</v>
      </c>
      <c r="E18" s="22">
        <v>13.8506</v>
      </c>
      <c r="F18" s="30">
        <f>E18/E10</f>
        <v>5.2531957199801575E-3</v>
      </c>
      <c r="G18" s="22">
        <v>200.3717</v>
      </c>
      <c r="H18" s="30">
        <f>G18/G10</f>
        <v>4.0354471052976716E-2</v>
      </c>
      <c r="I18" s="22">
        <v>212.17240000000001</v>
      </c>
      <c r="J18" s="30">
        <f>I18/I10</f>
        <v>3.8208377457114202E-2</v>
      </c>
    </row>
    <row r="19" spans="1:10" ht="30" customHeight="1" thickBot="1" x14ac:dyDescent="0.25">
      <c r="A19" s="20" t="s">
        <v>1</v>
      </c>
      <c r="B19" s="25" t="s">
        <v>30</v>
      </c>
      <c r="C19" s="22">
        <v>13.7219</v>
      </c>
      <c r="D19" s="30">
        <f>C19/C10</f>
        <v>5.701039576895192E-3</v>
      </c>
      <c r="E19" s="22">
        <v>8.6674000000000007</v>
      </c>
      <c r="F19" s="30">
        <f>E19/E10</f>
        <v>3.2873340204291526E-3</v>
      </c>
      <c r="G19" s="22">
        <v>24.37</v>
      </c>
      <c r="H19" s="30">
        <f>G19/G10</f>
        <v>4.9080706485049664E-3</v>
      </c>
      <c r="I19" s="22">
        <v>24.257200000000001</v>
      </c>
      <c r="J19" s="30">
        <f>I19/I10</f>
        <v>4.3682790676483401E-3</v>
      </c>
    </row>
    <row r="20" spans="1:10" ht="30" customHeight="1" thickBot="1" x14ac:dyDescent="0.25">
      <c r="A20" s="20" t="s">
        <v>31</v>
      </c>
      <c r="B20" s="25" t="s">
        <v>32</v>
      </c>
      <c r="C20" s="22">
        <v>1.9268000000000001</v>
      </c>
      <c r="D20" s="30">
        <f>C20/C10</f>
        <v>8.0052784649076701E-4</v>
      </c>
      <c r="E20" s="22">
        <v>1.121</v>
      </c>
      <c r="F20" s="30">
        <f>E20/E10</f>
        <v>4.2516803619321592E-4</v>
      </c>
      <c r="G20" s="22">
        <v>56.6235</v>
      </c>
      <c r="H20" s="30">
        <f>G20/G10</f>
        <v>1.1403862879180179E-2</v>
      </c>
      <c r="I20" s="22">
        <v>66.687799999999996</v>
      </c>
      <c r="J20" s="30">
        <f>I20/I10</f>
        <v>1.2009255841874534E-2</v>
      </c>
    </row>
    <row r="21" spans="1:10" ht="30" customHeight="1" thickBot="1" x14ac:dyDescent="0.25">
      <c r="A21" s="20" t="s">
        <v>33</v>
      </c>
      <c r="B21" s="25" t="s">
        <v>34</v>
      </c>
      <c r="C21" s="22">
        <v>1.35</v>
      </c>
      <c r="D21" s="30">
        <f>C21/C10</f>
        <v>5.6088467550474133E-4</v>
      </c>
      <c r="E21" s="22">
        <v>1.3611</v>
      </c>
      <c r="F21" s="30">
        <f>E21/E10</f>
        <v>5.162321267284444E-4</v>
      </c>
      <c r="G21" s="22">
        <v>92.237099999999998</v>
      </c>
      <c r="H21" s="30">
        <f>G21/G10</f>
        <v>1.8576372721100427E-2</v>
      </c>
      <c r="I21" s="22">
        <v>96.037499999999994</v>
      </c>
      <c r="J21" s="30">
        <f>I21/I10</f>
        <v>1.7294601230120436E-2</v>
      </c>
    </row>
    <row r="22" spans="1:10" ht="30" customHeight="1" thickBot="1" x14ac:dyDescent="0.25">
      <c r="A22" s="20" t="s">
        <v>35</v>
      </c>
      <c r="B22" s="25" t="s">
        <v>36</v>
      </c>
      <c r="C22" s="22">
        <v>225.31319999999999</v>
      </c>
      <c r="D22" s="30">
        <f>C22/C10</f>
        <v>9.3610904495507311E-2</v>
      </c>
      <c r="E22" s="22">
        <v>169.3734</v>
      </c>
      <c r="F22" s="30">
        <f>E22/E10</f>
        <v>6.4239211294708332E-2</v>
      </c>
      <c r="G22" s="22">
        <v>318.24430000000001</v>
      </c>
      <c r="H22" s="30">
        <f>G22/G10</f>
        <v>6.4093783663685233E-2</v>
      </c>
      <c r="I22" s="22">
        <v>301.40350000000001</v>
      </c>
      <c r="J22" s="30">
        <f>I22/I10</f>
        <v>5.4277270252376469E-2</v>
      </c>
    </row>
    <row r="23" spans="1:10" ht="30" customHeight="1" thickBot="1" x14ac:dyDescent="0.25">
      <c r="A23" s="20" t="s">
        <v>37</v>
      </c>
      <c r="B23" s="25" t="s">
        <v>38</v>
      </c>
      <c r="C23" s="22">
        <v>4.4821</v>
      </c>
      <c r="D23" s="32">
        <f>C23/C10</f>
        <v>1.8621786696887412E-3</v>
      </c>
      <c r="E23" s="22">
        <v>2.6318999999999999</v>
      </c>
      <c r="F23" s="32">
        <f>E23/E10</f>
        <v>9.9821565964043255E-4</v>
      </c>
      <c r="G23" s="22">
        <v>57.229599999999998</v>
      </c>
      <c r="H23" s="30">
        <f>G23/G10</f>
        <v>1.1525930241513329E-2</v>
      </c>
      <c r="I23" s="22">
        <v>59.153100000000002</v>
      </c>
      <c r="J23" s="30">
        <f>I23/I10</f>
        <v>1.0652393867243912E-2</v>
      </c>
    </row>
    <row r="24" spans="1:10" ht="30" customHeight="1" thickBot="1" x14ac:dyDescent="0.25">
      <c r="A24" s="20" t="s">
        <v>2</v>
      </c>
      <c r="B24" s="26" t="s">
        <v>39</v>
      </c>
      <c r="C24" s="22">
        <v>24.220500000000001</v>
      </c>
      <c r="D24" s="30">
        <f>C24/C10</f>
        <v>1.0062894283750064E-2</v>
      </c>
      <c r="E24" s="22">
        <v>15.9634</v>
      </c>
      <c r="F24" s="30">
        <f>E24/E10</f>
        <v>6.0545293746358452E-3</v>
      </c>
      <c r="G24" s="22">
        <v>94.249200000000002</v>
      </c>
      <c r="H24" s="30">
        <f>G24/G10</f>
        <v>1.8981605751541824E-2</v>
      </c>
      <c r="I24" s="22">
        <v>95.505499999999998</v>
      </c>
      <c r="J24" s="30">
        <f>I24/I10</f>
        <v>1.7198797738209214E-2</v>
      </c>
    </row>
    <row r="25" spans="1:10" ht="30" customHeight="1" thickBot="1" x14ac:dyDescent="0.25">
      <c r="A25" s="20" t="s">
        <v>3</v>
      </c>
      <c r="B25" s="24" t="s">
        <v>40</v>
      </c>
      <c r="C25" s="22">
        <v>306.19940000000003</v>
      </c>
      <c r="D25" s="30">
        <f>C25/C10</f>
        <v>0.12721670452499739</v>
      </c>
      <c r="E25" s="22">
        <v>414.57760000000002</v>
      </c>
      <c r="F25" s="30">
        <f>E25/E10</f>
        <v>0.15723920075084441</v>
      </c>
      <c r="G25" s="22">
        <v>278.63760000000002</v>
      </c>
      <c r="H25" s="30">
        <f>G25/G10</f>
        <v>5.611707124045414E-2</v>
      </c>
      <c r="I25" s="22">
        <v>303.2149</v>
      </c>
      <c r="J25" s="30">
        <f>I25/I10</f>
        <v>5.4603470337429079E-2</v>
      </c>
    </row>
    <row r="26" spans="1:10" ht="30" customHeight="1" thickBot="1" x14ac:dyDescent="0.25">
      <c r="A26" s="20" t="s">
        <v>4</v>
      </c>
      <c r="B26" s="26" t="s">
        <v>41</v>
      </c>
      <c r="C26" s="22">
        <v>296.60989999999998</v>
      </c>
      <c r="D26" s="30">
        <f>C26/C10</f>
        <v>0.1232325537133287</v>
      </c>
      <c r="E26" s="22">
        <v>261.18759999999997</v>
      </c>
      <c r="F26" s="30">
        <f>E26/E10</f>
        <v>9.9062104344352531E-2</v>
      </c>
      <c r="G26" s="22">
        <v>341.96870000000001</v>
      </c>
      <c r="H26" s="30">
        <f>G26/G10</f>
        <v>6.8871831726606492E-2</v>
      </c>
      <c r="I26" s="22">
        <v>346.63249999999999</v>
      </c>
      <c r="J26" s="30">
        <f>I26/I10</f>
        <v>6.242218780059583E-2</v>
      </c>
    </row>
    <row r="27" spans="1:10" ht="30" customHeight="1" thickBot="1" x14ac:dyDescent="0.25">
      <c r="A27" s="20" t="s">
        <v>42</v>
      </c>
      <c r="B27" s="26" t="s">
        <v>43</v>
      </c>
      <c r="C27" s="22">
        <v>43.049799999999998</v>
      </c>
      <c r="D27" s="30">
        <f>C27/C10</f>
        <v>1.7885906002625192E-2</v>
      </c>
      <c r="E27" s="22">
        <v>44.294800000000002</v>
      </c>
      <c r="F27" s="30">
        <f>E27/E10</f>
        <v>1.6799940347521195E-2</v>
      </c>
      <c r="G27" s="22">
        <v>938.25969999999995</v>
      </c>
      <c r="H27" s="30">
        <f>G27/G10</f>
        <v>0.18896368051887874</v>
      </c>
      <c r="I27" s="22">
        <v>886.71320000000003</v>
      </c>
      <c r="J27" s="30">
        <f>I27/I10</f>
        <v>0.15968086632288458</v>
      </c>
    </row>
    <row r="28" spans="1:10" ht="30" customHeight="1" thickBot="1" x14ac:dyDescent="0.25">
      <c r="A28" s="20" t="s">
        <v>44</v>
      </c>
      <c r="B28" s="26" t="s">
        <v>45</v>
      </c>
      <c r="C28" s="22">
        <v>26.282299999999999</v>
      </c>
      <c r="D28" s="30">
        <f>C28/C10</f>
        <v>1.0919510597791305E-2</v>
      </c>
      <c r="E28" s="22">
        <v>31.733899999999998</v>
      </c>
      <c r="F28" s="30">
        <f>E28/E10</f>
        <v>1.2035896470786702E-2</v>
      </c>
      <c r="G28" s="22">
        <v>362.08170000000001</v>
      </c>
      <c r="H28" s="30">
        <f>G28/G10</f>
        <v>7.2922550846564654E-2</v>
      </c>
      <c r="I28" s="22">
        <v>757.2079</v>
      </c>
      <c r="J28" s="30">
        <f>I28/I10</f>
        <v>0.13635932504278966</v>
      </c>
    </row>
    <row r="29" spans="1:10" ht="30" customHeight="1" thickBot="1" x14ac:dyDescent="0.25">
      <c r="A29" s="20" t="s">
        <v>46</v>
      </c>
      <c r="B29" s="26" t="s">
        <v>47</v>
      </c>
      <c r="C29" s="22">
        <v>52.773600000000002</v>
      </c>
      <c r="D29" s="30">
        <f>C29/C10</f>
        <v>2.1925854452753343E-2</v>
      </c>
      <c r="E29" s="22">
        <v>95.1721</v>
      </c>
      <c r="F29" s="30">
        <f>E29/E10</f>
        <v>3.6096462852260806E-2</v>
      </c>
      <c r="G29" s="22">
        <v>116.9742</v>
      </c>
      <c r="H29" s="30">
        <f>G29/G10</f>
        <v>2.3558376596321279E-2</v>
      </c>
      <c r="I29" s="22">
        <v>122.8289</v>
      </c>
      <c r="J29" s="30">
        <f>I29/I10</f>
        <v>2.2119243472959418E-2</v>
      </c>
    </row>
    <row r="30" spans="1:10" ht="30" customHeight="1" thickBot="1" x14ac:dyDescent="0.25">
      <c r="A30" s="20" t="s">
        <v>48</v>
      </c>
      <c r="B30" s="26" t="s">
        <v>49</v>
      </c>
      <c r="C30" s="22">
        <v>22.990600000000001</v>
      </c>
      <c r="D30" s="30">
        <f>C30/C10</f>
        <v>9.5519075708587441E-3</v>
      </c>
      <c r="E30" s="22">
        <v>13.2202</v>
      </c>
      <c r="F30" s="30">
        <f>E30/E10</f>
        <v>5.0141003319193155E-3</v>
      </c>
      <c r="G30" s="22">
        <v>160.09540000000001</v>
      </c>
      <c r="H30" s="30">
        <f>G30/G10</f>
        <v>3.2242902490794499E-2</v>
      </c>
      <c r="I30" s="22">
        <v>133.00389999999999</v>
      </c>
      <c r="J30" s="30">
        <f>I30/I10</f>
        <v>2.3951575296637412E-2</v>
      </c>
    </row>
    <row r="31" spans="1:10" ht="30" customHeight="1" thickBot="1" x14ac:dyDescent="0.25">
      <c r="A31" s="27" t="s">
        <v>50</v>
      </c>
      <c r="B31" s="33" t="s">
        <v>51</v>
      </c>
      <c r="C31" s="22">
        <v>0.71</v>
      </c>
      <c r="D31" s="32">
        <f>C31/C10</f>
        <v>2.9498379230249354E-4</v>
      </c>
      <c r="E31" s="22">
        <v>0.49590000000000001</v>
      </c>
      <c r="F31" s="32">
        <f>E31/E10</f>
        <v>1.880828092312362E-4</v>
      </c>
      <c r="G31" s="28">
        <v>0.20419999999999999</v>
      </c>
      <c r="H31" s="32">
        <f>G31/G10</f>
        <v>4.1125483234497912E-5</v>
      </c>
      <c r="I31" s="22">
        <v>0.90800000000000003</v>
      </c>
      <c r="J31" s="32">
        <f>I31/I10</f>
        <v>1.6351423055524516E-4</v>
      </c>
    </row>
    <row r="32" spans="1:10" ht="30" customHeight="1" x14ac:dyDescent="0.2"/>
  </sheetData>
  <mergeCells count="10">
    <mergeCell ref="C7:D7"/>
    <mergeCell ref="E7:F7"/>
    <mergeCell ref="G7:H7"/>
    <mergeCell ref="I7:J7"/>
    <mergeCell ref="A1:J1"/>
    <mergeCell ref="A2:J2"/>
    <mergeCell ref="A3:J3"/>
    <mergeCell ref="C6:F6"/>
    <mergeCell ref="G6:J6"/>
    <mergeCell ref="A4:J4"/>
  </mergeCells>
  <phoneticPr fontId="1" type="noConversion"/>
  <pageMargins left="0.64" right="0.3" top="0.42" bottom="0.44" header="0.23" footer="0.2"/>
  <pageSetup paperSize="9" firstPageNumber="2" orientation="portrait" useFirstPageNumber="1" r:id="rId1"/>
  <headerFooter alignWithMargins="0">
    <oddHeader>&amp;R&amp;8&amp;U¶ñ³ýÇÏ 6</oddHeader>
    <oddFooter>&amp;C7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ax6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Suren Movsisjan</dc:creator>
  <cp:lastModifiedBy>Armen Movsesyan S.</cp:lastModifiedBy>
  <cp:lastPrinted>2020-03-02T06:19:48Z</cp:lastPrinted>
  <dcterms:created xsi:type="dcterms:W3CDTF">2001-03-30T11:12:39Z</dcterms:created>
  <dcterms:modified xsi:type="dcterms:W3CDTF">2020-03-02T06:19:51Z</dcterms:modified>
</cp:coreProperties>
</file>