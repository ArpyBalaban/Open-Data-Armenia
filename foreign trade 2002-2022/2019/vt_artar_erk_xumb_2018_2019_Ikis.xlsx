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6420" yWindow="105" windowWidth="6480" windowHeight="3810"/>
  </bookViews>
  <sheets>
    <sheet name="gr3" sheetId="19" r:id="rId1"/>
  </sheets>
  <definedNames>
    <definedName name="_xlnm._FilterDatabase" localSheetId="0" hidden="1">'gr3'!#REF!</definedName>
  </definedNames>
  <calcPr calcId="144525"/>
</workbook>
</file>

<file path=xl/calcChain.xml><?xml version="1.0" encoding="utf-8"?>
<calcChain xmlns="http://schemas.openxmlformats.org/spreadsheetml/2006/main">
  <c r="C21" i="19" l="1"/>
  <c r="D21" i="19"/>
  <c r="E21" i="19"/>
  <c r="B21" i="19"/>
</calcChain>
</file>

<file path=xl/sharedStrings.xml><?xml version="1.0" encoding="utf-8"?>
<sst xmlns="http://schemas.openxmlformats.org/spreadsheetml/2006/main" count="18" uniqueCount="16">
  <si>
    <t>ըստ երկրների խմբերի</t>
  </si>
  <si>
    <t>(հազ. ԱՄՆ  դոլար)</t>
  </si>
  <si>
    <t>ԵՐԿՐՆԵՐԻ  ԽՄԲԵՐԸ</t>
  </si>
  <si>
    <t>ԱՐՏԱՀԱՆՈՒՄ</t>
  </si>
  <si>
    <t>ՆԵՐՄՈՒԾՈՒՄ</t>
  </si>
  <si>
    <t>ԱՊՀ</t>
  </si>
  <si>
    <t>ԱՍԻԱ</t>
  </si>
  <si>
    <t>ԱՄԵՐԻԿԱ</t>
  </si>
  <si>
    <t>ԱՅԼ ԵՐԿՐՆԵՐ</t>
  </si>
  <si>
    <t>ԸՆԴԱՄԵՆԸ</t>
  </si>
  <si>
    <t>ԵՄ</t>
  </si>
  <si>
    <t xml:space="preserve">ՀՀ արտաքին և փոխադարձ առեւտուրն </t>
  </si>
  <si>
    <t>ԵՏՄ</t>
  </si>
  <si>
    <t>2018թ.</t>
  </si>
  <si>
    <t>I կիսամյակ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</si>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</sst>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Armenian"/>
    </font>
    <font>
      <sz val="5"/>
      <name val="Arial Armenian"/>
      <family val="2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b/>
      <sz val="10"/>
      <name val="GHEA Grapalat"/>
      <family val="3"/>
    </font>
    <font>
      <b/>
      <sz val="12"/>
      <name val="GHEA Mariam"/>
      <family val="3"/>
    </font>
    <font>
      <sz val="10"/>
      <name val="GHEA Mariam"/>
      <family val="3"/>
    </font>
    <font>
      <b/>
      <sz val="10"/>
      <name val="GHEA Mariam"/>
      <family val="3"/>
    </font>
    <font>
      <b/>
      <sz val="11"/>
      <name val="GHEA Mariam"/>
      <family val="3"/>
    </font>
    <font>
      <sz val="5"/>
      <name val="GHEA Mariam"/>
      <family val="3"/>
    </font>
    <font>
      <sz val="11"/>
      <name val="GHEA Mariam"/>
      <family val="3"/>
    </font>
    <font>
      <sz val="2"/>
      <name val="GHEA Mariam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3" fontId="11" fillId="0" borderId="0" xfId="0" applyNumberFormat="1" applyFont="1"/>
    <xf numFmtId="0" fontId="12" fillId="3" borderId="0" xfId="0" applyFont="1" applyFill="1"/>
    <xf numFmtId="3" fontId="11" fillId="3" borderId="0" xfId="0" applyNumberFormat="1" applyFont="1" applyFill="1"/>
    <xf numFmtId="0" fontId="12" fillId="2" borderId="0" xfId="0" applyFont="1" applyFill="1"/>
    <xf numFmtId="3" fontId="12" fillId="2" borderId="0" xfId="0" applyNumberFormat="1" applyFont="1" applyFill="1"/>
    <xf numFmtId="0" fontId="9" fillId="0" borderId="5" xfId="0" applyFont="1" applyBorder="1"/>
    <xf numFmtId="3" fontId="9" fillId="0" borderId="5" xfId="0" applyNumberFormat="1" applyFont="1" applyBorder="1"/>
    <xf numFmtId="0" fontId="7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11" fillId="0" borderId="0" xfId="0" applyNumberFormat="1" applyFont="1" applyFill="1"/>
    <xf numFmtId="0" fontId="7" fillId="0" borderId="0" xfId="0" applyFont="1" applyFill="1"/>
    <xf numFmtId="0" fontId="7" fillId="3" borderId="0" xfId="0" applyFont="1" applyFill="1"/>
    <xf numFmtId="0" fontId="6" fillId="0" borderId="0" xfId="0" quotePrefix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²ðî²Ð²ÜàôØ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500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'gr3'!#REF!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v>'gr3'!#REF!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v>'gr3'!#REF!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6097536"/>
        <c:axId val="176111616"/>
        <c:axId val="0"/>
      </c:bar3DChart>
      <c:catAx>
        <c:axId val="17609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1116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111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r>
                  <a:rPr lang="en-US"/>
                  <a:t>Ñ³½. ¹áÉ³ñ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0975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ÜºðØàôÌàôØ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500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'gr3'!#REF!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v>'gr3'!#REF!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tx>
            <c:v>'gr3'!#REF!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6154880"/>
        <c:axId val="176156672"/>
        <c:axId val="0"/>
      </c:bar3DChart>
      <c:catAx>
        <c:axId val="1761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1566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15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r>
                  <a:rPr lang="en-US"/>
                  <a:t>Ñ³½. ¹áÉ³ñ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154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²ðî²Ð²ÜàôØ, 1999Ã.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'gr3'!#REF!</c:v>
          </c:tx>
          <c:spPr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ÜºðØàôÌàôØ, 1999Ã.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'gr3'!#REF!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'gr3'!#REF!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Mariam"/>
                <a:ea typeface="GHEA Mariam"/>
                <a:cs typeface="GHEA Mariam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42442780148664622"/>
          <c:y val="4.23728813559322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0229059987073586E-2"/>
          <c:y val="0.1228813559322034"/>
          <c:w val="0.82290137680505782"/>
          <c:h val="0.77542372881355937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'gr3'!$B$7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('gr3'!$B$9,'gr3'!$B$11,'gr3'!$B$13,'gr3'!$B$15,'gr3'!$B$17,'gr3'!$B$19)</c:f>
              <c:numCache>
                <c:formatCode>#,##0</c:formatCode>
                <c:ptCount val="6"/>
                <c:pt idx="0">
                  <c:v>301063</c:v>
                </c:pt>
                <c:pt idx="1">
                  <c:v>311369.5</c:v>
                </c:pt>
                <c:pt idx="2">
                  <c:v>369454</c:v>
                </c:pt>
                <c:pt idx="3">
                  <c:v>275075.40000000002</c:v>
                </c:pt>
                <c:pt idx="4">
                  <c:v>41814.400000000001</c:v>
                </c:pt>
                <c:pt idx="5">
                  <c:v>171642.2</c:v>
                </c:pt>
              </c:numCache>
            </c:numRef>
          </c:val>
        </c:ser>
        <c:ser>
          <c:idx val="2"/>
          <c:order val="1"/>
          <c:tx>
            <c:strRef>
              <c:f>'gr3'!$C$7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('gr3'!$C$9,'gr3'!$C$11,'gr3'!$C$13,'gr3'!$C$15,'gr3'!$C$17,'gr3'!$C$19)</c:f>
              <c:numCache>
                <c:formatCode>#,##0</c:formatCode>
                <c:ptCount val="6"/>
                <c:pt idx="0">
                  <c:v>321292</c:v>
                </c:pt>
                <c:pt idx="1">
                  <c:v>337033.3</c:v>
                </c:pt>
                <c:pt idx="2">
                  <c:v>272932.40000000002</c:v>
                </c:pt>
                <c:pt idx="3">
                  <c:v>305218.3</c:v>
                </c:pt>
                <c:pt idx="4">
                  <c:v>60363.5</c:v>
                </c:pt>
                <c:pt idx="5">
                  <c:v>193281.5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6320512"/>
        <c:axId val="176322048"/>
        <c:axId val="0"/>
      </c:bar3DChart>
      <c:catAx>
        <c:axId val="1763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63220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322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9.1603053435114507E-3"/>
              <c:y val="0.3983050847457627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3205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992430526336876"/>
          <c:y val="0.50847457627118642"/>
          <c:w val="7.7862595419847302E-2"/>
          <c:h val="0.194915254237288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42153846153846153"/>
          <c:y val="4.1152263374485597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0769230769230765E-2"/>
          <c:y val="0.12345728627060133"/>
          <c:w val="0.82"/>
          <c:h val="0.78189614638047511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'gr3'!$D$7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('gr3'!$D$9,'gr3'!$D$11,'gr3'!$D$13,'gr3'!$D$15,'gr3'!$D$17,'gr3'!$D$19)</c:f>
              <c:numCache>
                <c:formatCode>#,##0</c:formatCode>
                <c:ptCount val="6"/>
                <c:pt idx="0">
                  <c:v>687797</c:v>
                </c:pt>
                <c:pt idx="1">
                  <c:v>771814.7</c:v>
                </c:pt>
                <c:pt idx="2">
                  <c:v>522347.9</c:v>
                </c:pt>
                <c:pt idx="3">
                  <c:v>743638</c:v>
                </c:pt>
                <c:pt idx="4">
                  <c:v>161830</c:v>
                </c:pt>
                <c:pt idx="5">
                  <c:v>109261</c:v>
                </c:pt>
              </c:numCache>
            </c:numRef>
          </c:val>
        </c:ser>
        <c:ser>
          <c:idx val="2"/>
          <c:order val="1"/>
          <c:tx>
            <c:strRef>
              <c:f>'gr3'!$E$7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('gr3'!$E$9,'gr3'!$E$11,'gr3'!$E$13,'gr3'!$E$15,'gr3'!$E$17,'gr3'!$E$19)</c:f>
              <c:numCache>
                <c:formatCode>#,##0</c:formatCode>
                <c:ptCount val="6"/>
                <c:pt idx="0">
                  <c:v>726247</c:v>
                </c:pt>
                <c:pt idx="1">
                  <c:v>790952.6</c:v>
                </c:pt>
                <c:pt idx="2">
                  <c:v>478236.6</c:v>
                </c:pt>
                <c:pt idx="3">
                  <c:v>832189.9</c:v>
                </c:pt>
                <c:pt idx="4">
                  <c:v>160573.70000000001</c:v>
                </c:pt>
                <c:pt idx="5">
                  <c:v>78164.899999999994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6339968"/>
        <c:axId val="176497408"/>
        <c:axId val="0"/>
      </c:bar3DChart>
      <c:catAx>
        <c:axId val="17633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6497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6497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1.2307692307692308E-2"/>
              <c:y val="0.3923199723491353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63399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769230769230769"/>
          <c:y val="0.50617499972997204"/>
          <c:w val="7.999999999999996E-2"/>
          <c:h val="0.13580290118056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  2018թ.</a:t>
            </a:r>
          </a:p>
        </c:rich>
      </c:tx>
      <c:layout>
        <c:manualLayout>
          <c:xMode val="edge"/>
          <c:yMode val="edge"/>
          <c:x val="0.2540720032145819"/>
          <c:y val="4.1284403669724773E-2"/>
        </c:manualLayout>
      </c:layout>
      <c:overlay val="0"/>
      <c:spPr>
        <a:noFill/>
        <a:ln w="25400">
          <a:noFill/>
        </a:ln>
      </c:spPr>
    </c:title>
    <c:autoTitleDeleted val="0"/>
    <c:view3D>
      <c:rotX val="20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115092290988056E-2"/>
          <c:y val="0.18654434250764526"/>
          <c:w val="0.98588490770901194"/>
          <c:h val="0.81345565749235471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79"/>
          <c:dPt>
            <c:idx val="0"/>
            <c:bubble3D val="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bubble3D val="0"/>
            <c:explosion val="83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2.6058631921824105E-2"/>
                  <c:y val="-9.785932721712538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4744842562432141E-2"/>
                  <c:y val="7.3394495412843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737242128121607E-2"/>
                  <c:y val="7.339449541284404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6862106406080351E-3"/>
                  <c:y val="-7.339449541284404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6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6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('gr3'!$C$9,'gr3'!$C$11,'gr3'!$C$13,'gr3'!$C$15,'gr3'!$C$17,'gr3'!$C$19)</c:f>
              <c:numCache>
                <c:formatCode>#,##0</c:formatCode>
                <c:ptCount val="6"/>
                <c:pt idx="0">
                  <c:v>321292</c:v>
                </c:pt>
                <c:pt idx="1">
                  <c:v>337033.3</c:v>
                </c:pt>
                <c:pt idx="2">
                  <c:v>272932.40000000002</c:v>
                </c:pt>
                <c:pt idx="3">
                  <c:v>305218.3</c:v>
                </c:pt>
                <c:pt idx="4">
                  <c:v>60363.5</c:v>
                </c:pt>
                <c:pt idx="5">
                  <c:v>193281.5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  2018թ.</a:t>
            </a:r>
          </a:p>
        </c:rich>
      </c:tx>
      <c:layout>
        <c:manualLayout>
          <c:xMode val="edge"/>
          <c:yMode val="edge"/>
          <c:x val="0.27381046119235097"/>
          <c:y val="4.1284403669724773E-2"/>
        </c:manualLayout>
      </c:layout>
      <c:overlay val="0"/>
      <c:spPr>
        <a:noFill/>
        <a:ln w="25400">
          <a:noFill/>
        </a:ln>
      </c:spPr>
    </c:title>
    <c:autoTitleDeleted val="0"/>
    <c:view3D>
      <c:rotX val="2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6865391826021748E-2"/>
          <c:y val="0.3058103975535168"/>
          <c:w val="0.97916635420572429"/>
          <c:h val="0.6941896024464832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37"/>
          <c:dPt>
            <c:idx val="0"/>
            <c:bubble3D val="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explosion val="99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3.5714285714285712E-2"/>
                  <c:y val="-5.50458715596330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1904761904761904E-2"/>
                  <c:y val="7.339449541284404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637524116577141E-17"/>
                  <c:y val="5.504587155963303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908216199453213"/>
                  <c:y val="-9.529437260709378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9841269841269878E-2"/>
                  <c:y val="-8.562691131498473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('gr3'!$A$9,'gr3'!$A$11,'gr3'!$A$13,'gr3'!$A$15,'gr3'!$A$17,'gr3'!$A$19)</c:f>
              <c:strCache>
                <c:ptCount val="6"/>
                <c:pt idx="0">
                  <c:v>ԵՏՄ</c:v>
                </c:pt>
                <c:pt idx="1">
                  <c:v>ԱՊՀ</c:v>
                </c:pt>
                <c:pt idx="2">
                  <c:v>ԵՄ</c:v>
                </c:pt>
                <c:pt idx="3">
                  <c:v>ԱՍԻԱ</c:v>
                </c:pt>
                <c:pt idx="4">
                  <c:v>ԱՄԵՐԻԿԱ</c:v>
                </c:pt>
                <c:pt idx="5">
                  <c:v>ԱՅԼ ԵՐԿՐՆԵՐ</c:v>
                </c:pt>
              </c:strCache>
            </c:strRef>
          </c:cat>
          <c:val>
            <c:numRef>
              <c:f>('gr3'!$E$9,'gr3'!$E$11,'gr3'!$E$13,'gr3'!$E$15,'gr3'!$E$17,'gr3'!$E$19)</c:f>
              <c:numCache>
                <c:formatCode>#,##0</c:formatCode>
                <c:ptCount val="6"/>
                <c:pt idx="0">
                  <c:v>726247</c:v>
                </c:pt>
                <c:pt idx="1">
                  <c:v>790952.6</c:v>
                </c:pt>
                <c:pt idx="2">
                  <c:v>478236.6</c:v>
                </c:pt>
                <c:pt idx="3">
                  <c:v>832189.9</c:v>
                </c:pt>
                <c:pt idx="4">
                  <c:v>160573.70000000001</c:v>
                </c:pt>
                <c:pt idx="5">
                  <c:v>78164.899999999994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0</xdr:colOff>
      <xdr:row>32</xdr:row>
      <xdr:rowOff>114300</xdr:rowOff>
    </xdr:to>
    <xdr:graphicFrame macro="">
      <xdr:nvGraphicFramePr>
        <xdr:cNvPr id="425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9525</xdr:rowOff>
    </xdr:from>
    <xdr:to>
      <xdr:col>0</xdr:col>
      <xdr:colOff>0</xdr:colOff>
      <xdr:row>46</xdr:row>
      <xdr:rowOff>114300</xdr:rowOff>
    </xdr:to>
    <xdr:graphicFrame macro="">
      <xdr:nvGraphicFramePr>
        <xdr:cNvPr id="425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0</xdr:col>
      <xdr:colOff>0</xdr:colOff>
      <xdr:row>59</xdr:row>
      <xdr:rowOff>133350</xdr:rowOff>
    </xdr:to>
    <xdr:graphicFrame macro="">
      <xdr:nvGraphicFramePr>
        <xdr:cNvPr id="425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47</xdr:row>
      <xdr:rowOff>9525</xdr:rowOff>
    </xdr:from>
    <xdr:to>
      <xdr:col>0</xdr:col>
      <xdr:colOff>0</xdr:colOff>
      <xdr:row>59</xdr:row>
      <xdr:rowOff>142875</xdr:rowOff>
    </xdr:to>
    <xdr:graphicFrame macro="">
      <xdr:nvGraphicFramePr>
        <xdr:cNvPr id="426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22</xdr:row>
      <xdr:rowOff>28575</xdr:rowOff>
    </xdr:from>
    <xdr:to>
      <xdr:col>4</xdr:col>
      <xdr:colOff>1190625</xdr:colOff>
      <xdr:row>36</xdr:row>
      <xdr:rowOff>9525</xdr:rowOff>
    </xdr:to>
    <xdr:graphicFrame macro="">
      <xdr:nvGraphicFramePr>
        <xdr:cNvPr id="4261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36</xdr:row>
      <xdr:rowOff>57150</xdr:rowOff>
    </xdr:from>
    <xdr:to>
      <xdr:col>5</xdr:col>
      <xdr:colOff>0</xdr:colOff>
      <xdr:row>50</xdr:row>
      <xdr:rowOff>104775</xdr:rowOff>
    </xdr:to>
    <xdr:graphicFrame macro="">
      <xdr:nvGraphicFramePr>
        <xdr:cNvPr id="4262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51</xdr:row>
      <xdr:rowOff>9525</xdr:rowOff>
    </xdr:from>
    <xdr:to>
      <xdr:col>2</xdr:col>
      <xdr:colOff>266700</xdr:colOff>
      <xdr:row>63</xdr:row>
      <xdr:rowOff>142875</xdr:rowOff>
    </xdr:to>
    <xdr:graphicFrame macro="">
      <xdr:nvGraphicFramePr>
        <xdr:cNvPr id="4263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333375</xdr:colOff>
      <xdr:row>51</xdr:row>
      <xdr:rowOff>0</xdr:rowOff>
    </xdr:from>
    <xdr:to>
      <xdr:col>4</xdr:col>
      <xdr:colOff>1181100</xdr:colOff>
      <xdr:row>63</xdr:row>
      <xdr:rowOff>133350</xdr:rowOff>
    </xdr:to>
    <xdr:graphicFrame macro="">
      <xdr:nvGraphicFramePr>
        <xdr:cNvPr id="426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2"/>
  <sheetViews>
    <sheetView tabSelected="1" workbookViewId="0">
      <selection activeCell="I9" sqref="I9"/>
    </sheetView>
  </sheetViews>
  <sheetFormatPr defaultRowHeight="12.75" x14ac:dyDescent="0.2"/>
  <cols>
    <col min="1" max="1" width="22.5703125" customWidth="1"/>
    <col min="2" max="4" width="18" customWidth="1"/>
    <col min="5" max="5" width="17" customWidth="1"/>
    <col min="6" max="6" width="0.42578125" customWidth="1"/>
  </cols>
  <sheetData>
    <row r="1" spans="1:6" ht="17.25" x14ac:dyDescent="0.3">
      <c r="A1" s="22" t="s">
        <v>11</v>
      </c>
      <c r="B1" s="22"/>
      <c r="C1" s="22"/>
      <c r="D1" s="22"/>
      <c r="E1" s="22"/>
    </row>
    <row r="2" spans="1:6" ht="15" customHeight="1" x14ac:dyDescent="0.3">
      <c r="A2" s="22" t="s">
        <v>0</v>
      </c>
      <c r="B2" s="22"/>
      <c r="C2" s="22"/>
      <c r="D2" s="22"/>
      <c r="E2" s="22"/>
    </row>
    <row r="3" spans="1:6" ht="17.25" x14ac:dyDescent="0.3">
      <c r="A3" s="25" t="s">
        <v>1</v>
      </c>
      <c r="B3" s="25"/>
      <c r="C3" s="25"/>
      <c r="D3" s="25"/>
      <c r="E3" s="25"/>
    </row>
    <row r="4" spans="1:6" ht="12.75" customHeight="1" x14ac:dyDescent="0.3">
      <c r="A4" s="26" t="s">
        <v>14</v>
      </c>
      <c r="B4" s="26"/>
      <c r="C4" s="26"/>
      <c r="D4" s="26"/>
      <c r="E4" s="26"/>
      <c r="F4" s="26"/>
    </row>
    <row r="5" spans="1:6" ht="5.25" customHeight="1" thickBot="1" x14ac:dyDescent="0.35">
      <c r="A5" s="16"/>
      <c r="B5" s="16"/>
      <c r="C5" s="16"/>
      <c r="D5" s="16"/>
      <c r="E5" s="16"/>
    </row>
    <row r="6" spans="1:6" ht="18" thickTop="1" thickBot="1" x14ac:dyDescent="0.35">
      <c r="A6" s="5" t="s">
        <v>2</v>
      </c>
      <c r="B6" s="23" t="s">
        <v>3</v>
      </c>
      <c r="C6" s="24"/>
      <c r="D6" s="23" t="s">
        <v>4</v>
      </c>
      <c r="E6" s="24"/>
    </row>
    <row r="7" spans="1:6" ht="18" thickTop="1" thickBot="1" x14ac:dyDescent="0.3">
      <c r="A7" s="6"/>
      <c r="B7" s="17" t="s">
        <v>13</v>
      </c>
      <c r="C7" s="18" t="s">
        <v>15</v>
      </c>
      <c r="D7" s="17" t="s">
        <v>13</v>
      </c>
      <c r="E7" s="18" t="s">
        <v>15</v>
      </c>
    </row>
    <row r="8" spans="1:6" s="1" customFormat="1" ht="4.5" customHeight="1" thickTop="1" x14ac:dyDescent="0.15">
      <c r="A8" s="7"/>
      <c r="B8" s="8"/>
      <c r="C8" s="8"/>
      <c r="D8" s="8"/>
      <c r="E8" s="8"/>
    </row>
    <row r="9" spans="1:6" s="1" customFormat="1" ht="13.5" customHeight="1" x14ac:dyDescent="0.3">
      <c r="A9" s="20" t="s">
        <v>12</v>
      </c>
      <c r="B9" s="19">
        <v>301063</v>
      </c>
      <c r="C9" s="19">
        <v>321292</v>
      </c>
      <c r="D9" s="19">
        <v>687797</v>
      </c>
      <c r="E9" s="19">
        <v>726247</v>
      </c>
    </row>
    <row r="10" spans="1:6" s="1" customFormat="1" ht="4.5" customHeight="1" x14ac:dyDescent="0.3">
      <c r="A10" s="21"/>
      <c r="B10" s="11"/>
      <c r="C10" s="11"/>
      <c r="D10" s="11"/>
      <c r="E10" s="11"/>
    </row>
    <row r="11" spans="1:6" ht="16.5" x14ac:dyDescent="0.3">
      <c r="A11" s="4" t="s">
        <v>5</v>
      </c>
      <c r="B11" s="9">
        <v>311369.5</v>
      </c>
      <c r="C11" s="9">
        <v>337033.3</v>
      </c>
      <c r="D11" s="9">
        <v>771814.7</v>
      </c>
      <c r="E11" s="9">
        <v>790952.6</v>
      </c>
    </row>
    <row r="12" spans="1:6" s="3" customFormat="1" ht="4.5" customHeight="1" x14ac:dyDescent="0.3">
      <c r="A12" s="10"/>
      <c r="B12" s="11"/>
      <c r="C12" s="11"/>
      <c r="D12" s="11"/>
      <c r="E12" s="11"/>
    </row>
    <row r="13" spans="1:6" ht="16.5" x14ac:dyDescent="0.3">
      <c r="A13" s="4" t="s">
        <v>10</v>
      </c>
      <c r="B13" s="9">
        <v>369454</v>
      </c>
      <c r="C13" s="9">
        <v>272932.40000000002</v>
      </c>
      <c r="D13" s="9">
        <v>522347.9</v>
      </c>
      <c r="E13" s="9">
        <v>478236.6</v>
      </c>
    </row>
    <row r="14" spans="1:6" s="3" customFormat="1" ht="4.5" customHeight="1" x14ac:dyDescent="0.3">
      <c r="A14" s="10"/>
      <c r="B14" s="11"/>
      <c r="C14" s="11"/>
      <c r="D14" s="11"/>
      <c r="E14" s="11"/>
    </row>
    <row r="15" spans="1:6" ht="16.5" x14ac:dyDescent="0.3">
      <c r="A15" s="4" t="s">
        <v>6</v>
      </c>
      <c r="B15" s="9">
        <v>275075.40000000002</v>
      </c>
      <c r="C15" s="9">
        <v>305218.3</v>
      </c>
      <c r="D15" s="9">
        <v>743638</v>
      </c>
      <c r="E15" s="9">
        <v>832189.9</v>
      </c>
    </row>
    <row r="16" spans="1:6" s="3" customFormat="1" ht="3.75" customHeight="1" x14ac:dyDescent="0.3">
      <c r="A16" s="10"/>
      <c r="B16" s="11"/>
      <c r="C16" s="11"/>
      <c r="D16" s="11"/>
      <c r="E16" s="11"/>
    </row>
    <row r="17" spans="1:5" ht="16.5" x14ac:dyDescent="0.3">
      <c r="A17" s="4" t="s">
        <v>7</v>
      </c>
      <c r="B17" s="9">
        <v>41814.400000000001</v>
      </c>
      <c r="C17" s="9">
        <v>60363.5</v>
      </c>
      <c r="D17" s="9">
        <v>161830</v>
      </c>
      <c r="E17" s="9">
        <v>160573.70000000001</v>
      </c>
    </row>
    <row r="18" spans="1:5" s="3" customFormat="1" ht="3.75" customHeight="1" x14ac:dyDescent="0.3">
      <c r="A18" s="10"/>
      <c r="B18" s="11"/>
      <c r="C18" s="11"/>
      <c r="D18" s="11"/>
      <c r="E18" s="11"/>
    </row>
    <row r="19" spans="1:5" ht="16.5" x14ac:dyDescent="0.3">
      <c r="A19" s="4" t="s">
        <v>8</v>
      </c>
      <c r="B19" s="9">
        <v>171642.2</v>
      </c>
      <c r="C19" s="9">
        <v>193281.5</v>
      </c>
      <c r="D19" s="9">
        <v>109261</v>
      </c>
      <c r="E19" s="9">
        <v>78164.899999999994</v>
      </c>
    </row>
    <row r="20" spans="1:5" s="3" customFormat="1" ht="6" thickBot="1" x14ac:dyDescent="0.2">
      <c r="A20" s="12"/>
      <c r="B20" s="13"/>
      <c r="C20" s="13"/>
      <c r="D20" s="13"/>
      <c r="E20" s="13"/>
    </row>
    <row r="21" spans="1:5" ht="17.25" thickBot="1" x14ac:dyDescent="0.35">
      <c r="A21" s="14" t="s">
        <v>9</v>
      </c>
      <c r="B21" s="15">
        <f>B11+B13+B15+B17+B19</f>
        <v>1169355.5</v>
      </c>
      <c r="C21" s="15">
        <f>C11+C13+C15+C17+C19</f>
        <v>1168829</v>
      </c>
      <c r="D21" s="15">
        <f>D11+D13+D15+D17+D19</f>
        <v>2308891.6</v>
      </c>
      <c r="E21" s="15">
        <f>E11+E13+E15+E17+E19</f>
        <v>2340117.7000000002</v>
      </c>
    </row>
    <row r="22" spans="1:5" s="3" customFormat="1" ht="5.25" x14ac:dyDescent="0.15">
      <c r="A22" s="2"/>
      <c r="B22" s="2"/>
      <c r="C22" s="2"/>
      <c r="D22" s="2"/>
      <c r="E22" s="2"/>
    </row>
  </sheetData>
  <mergeCells count="6">
    <mergeCell ref="A1:E1"/>
    <mergeCell ref="B6:C6"/>
    <mergeCell ref="D6:E6"/>
    <mergeCell ref="A2:E2"/>
    <mergeCell ref="A3:E3"/>
    <mergeCell ref="A4:F4"/>
  </mergeCells>
  <phoneticPr fontId="2" type="noConversion"/>
  <pageMargins left="0.71" right="0.16" top="0.35" bottom="0.5" header="0.16" footer="0.24"/>
  <pageSetup paperSize="9" firstPageNumber="4" orientation="portrait" useFirstPageNumber="1" horizontalDpi="300" verticalDpi="300" r:id="rId1"/>
  <headerFooter alignWithMargins="0">
    <oddHeader>&amp;R&amp;8&amp;U¶ñ³ýÇÏ 2</oddHeader>
    <oddFooter>&amp;C3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Vladimir Safaryan S.</cp:lastModifiedBy>
  <cp:lastPrinted>2018-11-13T07:22:18Z</cp:lastPrinted>
  <dcterms:created xsi:type="dcterms:W3CDTF">2001-03-30T11:12:39Z</dcterms:created>
  <dcterms:modified xsi:type="dcterms:W3CDTF">2019-08-15T08:57:57Z</dcterms:modified>
</cp:coreProperties>
</file>