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men_movsesyan.CUSTOMS\Desktop\girq\"/>
    </mc:Choice>
  </mc:AlternateContent>
  <bookViews>
    <workbookView xWindow="6420" yWindow="105" windowWidth="6480" windowHeight="3810"/>
  </bookViews>
  <sheets>
    <sheet name="gr6" sheetId="23" r:id="rId1"/>
  </sheets>
  <definedNames>
    <definedName name="_xlnm._FilterDatabase" localSheetId="0" hidden="1">'gr6'!#REF!</definedName>
  </definedNames>
  <calcPr calcId="152511"/>
</workbook>
</file>

<file path=xl/calcChain.xml><?xml version="1.0" encoding="utf-8"?>
<calcChain xmlns="http://schemas.openxmlformats.org/spreadsheetml/2006/main">
  <c r="K10" i="23" l="1"/>
  <c r="K9" i="23"/>
  <c r="J10" i="23"/>
  <c r="J9" i="23"/>
  <c r="H11" i="23"/>
  <c r="F11" i="23"/>
  <c r="D11" i="23"/>
  <c r="B11" i="23"/>
  <c r="J11" i="23"/>
</calcChain>
</file>

<file path=xl/sharedStrings.xml><?xml version="1.0" encoding="utf-8"?>
<sst xmlns="http://schemas.openxmlformats.org/spreadsheetml/2006/main" count="22" uniqueCount="14">
  <si>
    <t>* -</t>
  </si>
  <si>
    <t>Ընդամենը</t>
  </si>
  <si>
    <t>(մլն. ԱՄՆ դոլար)</t>
  </si>
  <si>
    <t>ըստ տրանսպորտի տեսակների</t>
  </si>
  <si>
    <t>Տ/Տ*</t>
  </si>
  <si>
    <t>Արտ.</t>
  </si>
  <si>
    <t>Ներ.</t>
  </si>
  <si>
    <t>20 - երկաթուղային</t>
  </si>
  <si>
    <t>40 - օդային</t>
  </si>
  <si>
    <t>70 - ստացիոնար (խողով., էլ. գիծ)</t>
  </si>
  <si>
    <t>30 - ավտոմոբիլային</t>
  </si>
  <si>
    <t>ՀՀ արտաքին և փոխադարձ առեւտուրն`</t>
  </si>
  <si>
    <t>2018թ.</t>
  </si>
  <si>
    <t>2019թ.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</si>
</sst>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 Armenian"/>
    </font>
    <font>
      <b/>
      <sz val="10"/>
      <name val="Arial Armenian"/>
    </font>
    <font>
      <sz val="8"/>
      <name val="Arial Armenian"/>
    </font>
    <font>
      <u/>
      <sz val="8"/>
      <name val="Arial Armenian"/>
      <family val="2"/>
    </font>
    <font>
      <b/>
      <sz val="12"/>
      <name val="GHEA Grapalat"/>
      <family val="3"/>
    </font>
    <font>
      <sz val="10"/>
      <name val="GHEA Grapalat"/>
      <family val="3"/>
    </font>
    <font>
      <b/>
      <sz val="10"/>
      <name val="GHEA Grapalat"/>
      <family val="3"/>
    </font>
    <font>
      <b/>
      <sz val="11"/>
      <name val="GHEA Grapalat"/>
      <family val="3"/>
    </font>
    <font>
      <sz val="5"/>
      <name val="GHEA Grapalat"/>
      <family val="3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Continuous"/>
    </xf>
    <xf numFmtId="0" fontId="7" fillId="0" borderId="1" xfId="0" quotePrefix="1" applyFont="1" applyBorder="1" applyAlignment="1">
      <alignment horizontal="center"/>
    </xf>
    <xf numFmtId="0" fontId="7" fillId="0" borderId="4" xfId="0" applyFont="1" applyBorder="1" applyAlignment="1">
      <alignment horizontal="centerContinuous"/>
    </xf>
    <xf numFmtId="0" fontId="7" fillId="0" borderId="5" xfId="0" applyFont="1" applyBorder="1" applyAlignment="1">
      <alignment horizontal="centerContinuous"/>
    </xf>
    <xf numFmtId="0" fontId="7" fillId="0" borderId="6" xfId="0" applyFont="1" applyBorder="1" applyAlignment="1">
      <alignment horizontal="centerContinuous"/>
    </xf>
    <xf numFmtId="0" fontId="5" fillId="0" borderId="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7" fillId="0" borderId="3" xfId="0" applyFont="1" applyBorder="1"/>
    <xf numFmtId="3" fontId="5" fillId="0" borderId="3" xfId="0" applyNumberFormat="1" applyFont="1" applyBorder="1"/>
    <xf numFmtId="0" fontId="7" fillId="0" borderId="0" xfId="0" applyFont="1" applyBorder="1"/>
    <xf numFmtId="3" fontId="5" fillId="0" borderId="0" xfId="0" applyNumberFormat="1" applyFont="1" applyBorder="1"/>
    <xf numFmtId="0" fontId="4" fillId="0" borderId="0" xfId="0" quotePrefix="1" applyFont="1" applyAlignment="1">
      <alignment horizontal="right"/>
    </xf>
    <xf numFmtId="164" fontId="0" fillId="0" borderId="3" xfId="0" applyNumberFormat="1" applyBorder="1"/>
    <xf numFmtId="164" fontId="5" fillId="0" borderId="3" xfId="0" applyNumberFormat="1" applyFont="1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r>
              <a:rPr lang="en-US" sz="1000" b="1" i="0" u="none" strike="noStrike" baseline="0">
                <a:solidFill>
                  <a:srgbClr val="000000"/>
                </a:solidFill>
                <a:latin typeface="GHEA Grapalat"/>
              </a:rPr>
              <a:t>2019թ.</a:t>
            </a:r>
          </a:p>
        </c:rich>
      </c:tx>
      <c:layout>
        <c:manualLayout>
          <c:xMode val="edge"/>
          <c:yMode val="edge"/>
          <c:x val="0.44282340619831273"/>
          <c:y val="4.0322580645161289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5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3382026930378768"/>
          <c:y val="0.12903225806451613"/>
          <c:w val="0.80535471162824956"/>
          <c:h val="0.733870967741935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'gr6'!$B$6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'gr6'!$B$7:$C$7</c:f>
              <c:strCache>
                <c:ptCount val="2"/>
                <c:pt idx="0">
                  <c:v>Արտ.</c:v>
                </c:pt>
                <c:pt idx="1">
                  <c:v>Ներ.</c:v>
                </c:pt>
              </c:strCache>
            </c:strRef>
          </c:cat>
          <c:val>
            <c:numRef>
              <c:f>'gr6'!$B$10:$C$10</c:f>
              <c:numCache>
                <c:formatCode>0.0</c:formatCode>
                <c:ptCount val="2"/>
                <c:pt idx="0">
                  <c:v>613.54629999999997</c:v>
                </c:pt>
                <c:pt idx="1">
                  <c:v>410.7432</c:v>
                </c:pt>
              </c:numCache>
            </c:numRef>
          </c:val>
        </c:ser>
        <c:ser>
          <c:idx val="1"/>
          <c:order val="1"/>
          <c:tx>
            <c:strRef>
              <c:f>'gr6'!$D$6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rgbClr val="80206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'gr6'!$B$7:$C$7</c:f>
              <c:strCache>
                <c:ptCount val="2"/>
                <c:pt idx="0">
                  <c:v>Արտ.</c:v>
                </c:pt>
                <c:pt idx="1">
                  <c:v>Ներ.</c:v>
                </c:pt>
              </c:strCache>
            </c:strRef>
          </c:cat>
          <c:val>
            <c:numRef>
              <c:f>'gr6'!$D$10:$E$10</c:f>
              <c:numCache>
                <c:formatCode>0.0</c:formatCode>
                <c:ptCount val="2"/>
                <c:pt idx="0">
                  <c:v>1408.6661999999999</c:v>
                </c:pt>
                <c:pt idx="1">
                  <c:v>4048.8348000000001</c:v>
                </c:pt>
              </c:numCache>
            </c:numRef>
          </c:val>
        </c:ser>
        <c:ser>
          <c:idx val="2"/>
          <c:order val="2"/>
          <c:tx>
            <c:strRef>
              <c:f>'gr6'!$F$6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'gr6'!$B$7:$C$7</c:f>
              <c:strCache>
                <c:ptCount val="2"/>
                <c:pt idx="0">
                  <c:v>Արտ.</c:v>
                </c:pt>
                <c:pt idx="1">
                  <c:v>Ներ.</c:v>
                </c:pt>
              </c:strCache>
            </c:strRef>
          </c:cat>
          <c:val>
            <c:numRef>
              <c:f>'gr6'!$F$10:$G$10</c:f>
              <c:numCache>
                <c:formatCode>0.0</c:formatCode>
                <c:ptCount val="2"/>
                <c:pt idx="0">
                  <c:v>549.15940000000001</c:v>
                </c:pt>
                <c:pt idx="1">
                  <c:v>670.36</c:v>
                </c:pt>
              </c:numCache>
            </c:numRef>
          </c:val>
        </c:ser>
        <c:ser>
          <c:idx val="4"/>
          <c:order val="3"/>
          <c:tx>
            <c:strRef>
              <c:f>'gr6'!$H$6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rgbClr val="600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'gr6'!$B$7:$C$7</c:f>
              <c:strCache>
                <c:ptCount val="2"/>
                <c:pt idx="0">
                  <c:v>Արտ.</c:v>
                </c:pt>
                <c:pt idx="1">
                  <c:v>Ներ.</c:v>
                </c:pt>
              </c:strCache>
            </c:strRef>
          </c:cat>
          <c:val>
            <c:numRef>
              <c:f>'gr6'!$H$10:$I$10</c:f>
              <c:numCache>
                <c:formatCode>0.0</c:formatCode>
                <c:ptCount val="2"/>
                <c:pt idx="0">
                  <c:v>65.254400000000004</c:v>
                </c:pt>
                <c:pt idx="1">
                  <c:v>423.34899999999999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87516704"/>
        <c:axId val="287517096"/>
        <c:axId val="0"/>
      </c:bar3DChart>
      <c:catAx>
        <c:axId val="287516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28751709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8751709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մլն.դոլար</a:t>
                </a:r>
              </a:p>
            </c:rich>
          </c:tx>
          <c:layout>
            <c:manualLayout>
              <c:xMode val="edge"/>
              <c:yMode val="edge"/>
              <c:x val="4.0858031432202358E-3"/>
              <c:y val="0.3991935483870967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28751670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0997771263993454"/>
          <c:y val="0.43951612903225806"/>
          <c:w val="7.5426046196780172E-2"/>
          <c:h val="0.2620967741935484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-4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ԱՐՏԱՀԱՆՈՒՄ</a:t>
            </a:r>
          </a:p>
        </c:rich>
      </c:tx>
      <c:layout>
        <c:manualLayout>
          <c:xMode val="edge"/>
          <c:yMode val="edge"/>
          <c:x val="0.37621410187804194"/>
          <c:y val="3.773584905660377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9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3592249118544636"/>
          <c:y val="0.10943416390434092"/>
          <c:w val="0.8325252585108589"/>
          <c:h val="0.76981273918915682"/>
        </c:manualLayout>
      </c:layout>
      <c:bar3DChart>
        <c:barDir val="col"/>
        <c:grouping val="clustered"/>
        <c:varyColors val="0"/>
        <c:ser>
          <c:idx val="2"/>
          <c:order val="0"/>
          <c:tx>
            <c:strRef>
              <c:f>'gr6'!$A$9</c:f>
              <c:strCache>
                <c:ptCount val="1"/>
                <c:pt idx="0">
                  <c:v>2018թ.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('gr6'!$B$6,'gr6'!$D$6,'gr6'!$F$6,'gr6'!$H$6)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('gr6'!$B$9,'gr6'!$D$9,'gr6'!$F$9,'gr6'!$H$9)</c:f>
              <c:numCache>
                <c:formatCode>0.0</c:formatCode>
                <c:ptCount val="4"/>
                <c:pt idx="0">
                  <c:v>599.34</c:v>
                </c:pt>
                <c:pt idx="1">
                  <c:v>1287.0350000000001</c:v>
                </c:pt>
                <c:pt idx="2">
                  <c:v>425.63240000000002</c:v>
                </c:pt>
                <c:pt idx="3">
                  <c:v>94.904799999999994</c:v>
                </c:pt>
              </c:numCache>
            </c:numRef>
          </c:val>
        </c:ser>
        <c:ser>
          <c:idx val="0"/>
          <c:order val="1"/>
          <c:tx>
            <c:strRef>
              <c:f>'gr6'!$A$10</c:f>
              <c:strCache>
                <c:ptCount val="1"/>
                <c:pt idx="0">
                  <c:v>2019թ.</c:v>
                </c:pt>
              </c:strCache>
            </c:strRef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('gr6'!$B$6,'gr6'!$D$6,'gr6'!$F$6,'gr6'!$H$6)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('gr6'!$B$10,'gr6'!$D$10,'gr6'!$F$10,'gr6'!$H$10)</c:f>
              <c:numCache>
                <c:formatCode>0.0</c:formatCode>
                <c:ptCount val="4"/>
                <c:pt idx="0">
                  <c:v>613.54629999999997</c:v>
                </c:pt>
                <c:pt idx="1">
                  <c:v>1408.6661999999999</c:v>
                </c:pt>
                <c:pt idx="2">
                  <c:v>549.15940000000001</c:v>
                </c:pt>
                <c:pt idx="3">
                  <c:v>65.254400000000004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87517880"/>
        <c:axId val="287518272"/>
        <c:axId val="0"/>
      </c:bar3DChart>
      <c:catAx>
        <c:axId val="287517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28751827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8751827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մլն.դոլար</a:t>
                </a:r>
              </a:p>
            </c:rich>
          </c:tx>
          <c:layout>
            <c:manualLayout>
              <c:xMode val="edge"/>
              <c:yMode val="edge"/>
              <c:x val="5.6853451570980816E-3"/>
              <c:y val="0.396227207448125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28751788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6165150472695762"/>
          <c:y val="0.50566116971227648"/>
          <c:w val="0.12621384705552585"/>
          <c:h val="0.1245286980636853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r>
              <a:rPr lang="en-US" sz="1000" b="1" i="0" u="none" strike="noStrike" baseline="0">
                <a:solidFill>
                  <a:srgbClr val="000000"/>
                </a:solidFill>
                <a:latin typeface="GHEA Grapalat"/>
              </a:rPr>
              <a:t>2019թ.</a:t>
            </a:r>
          </a:p>
        </c:rich>
      </c:tx>
      <c:layout>
        <c:manualLayout>
          <c:xMode val="edge"/>
          <c:yMode val="edge"/>
          <c:x val="0.40164020481046425"/>
          <c:y val="3.9215686274509803E-2"/>
        </c:manualLayout>
      </c:layout>
      <c:overlay val="0"/>
      <c:spPr>
        <a:noFill/>
        <a:ln w="25400">
          <a:noFill/>
        </a:ln>
      </c:spPr>
    </c:title>
    <c:autoTitleDeleted val="0"/>
    <c:view3D>
      <c:rotX val="30"/>
      <c:rotY val="21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505368862615442E-3"/>
          <c:y val="4.1792383507951066E-3"/>
          <c:w val="0.99849463113738457"/>
          <c:h val="0.99146813513106857"/>
        </c:manualLayout>
      </c:layout>
      <c:pie3DChart>
        <c:varyColors val="1"/>
        <c:ser>
          <c:idx val="0"/>
          <c:order val="0"/>
          <c:tx>
            <c:strRef>
              <c:f>'gr6'!$A$10</c:f>
              <c:strCache>
                <c:ptCount val="1"/>
                <c:pt idx="0">
                  <c:v>2019թ.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explosion val="26"/>
          <c:dPt>
            <c:idx val="0"/>
            <c:bubble3D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1.0909092470879381E-2"/>
                  <c:y val="7.94001102848774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numRef>
              <c:f>('gr6'!$B$6,'gr6'!$D$6,'gr6'!$F$6,'gr6'!$H$6)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('gr6'!$C$10,'gr6'!$E$10,'gr6'!$G$10,'gr6'!$I$10)</c:f>
              <c:numCache>
                <c:formatCode>0.0</c:formatCode>
                <c:ptCount val="4"/>
                <c:pt idx="0">
                  <c:v>410.7432</c:v>
                </c:pt>
                <c:pt idx="1">
                  <c:v>4048.8348000000001</c:v>
                </c:pt>
                <c:pt idx="2">
                  <c:v>670.36</c:v>
                </c:pt>
                <c:pt idx="3">
                  <c:v>423.34899999999999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419174262968165"/>
          <c:y val="4.01606425702811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25" b="1" i="0" u="none" strike="noStrike" baseline="0">
              <a:solidFill>
                <a:srgbClr val="000000"/>
              </a:solidFill>
              <a:latin typeface="GHEA Grapalat"/>
              <a:ea typeface="GHEA Grapalat"/>
              <a:cs typeface="GHEA Grapalat"/>
            </a:defRPr>
          </a:pPr>
          <a:endParaRPr lang="en-US"/>
        </a:p>
      </c:txPr>
    </c:title>
    <c:autoTitleDeleted val="0"/>
    <c:view3D>
      <c:rotX val="3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"/>
          <c:y val="0.16862787627471512"/>
          <c:w val="1"/>
          <c:h val="0.81173412487639252"/>
        </c:manualLayout>
      </c:layout>
      <c:pie3DChart>
        <c:varyColors val="1"/>
        <c:ser>
          <c:idx val="0"/>
          <c:order val="0"/>
          <c:tx>
            <c:strRef>
              <c:f>'gr6'!$A$10</c:f>
              <c:strCache>
                <c:ptCount val="1"/>
                <c:pt idx="0">
                  <c:v>2019թ.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-9.9785748466524563E-2"/>
                  <c:y val="-5.096810885311080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4122101622656284"/>
                  <c:y val="-4.173533746752893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7.6483664680036548E-2"/>
                  <c:y val="-0.10360011476918926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('gr6'!$B$6,'gr6'!$D$6,'gr6'!$F$6,'gr6'!$H$6)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('gr6'!$B$11,'gr6'!$D$11,'gr6'!$F$11,'gr6'!$H$11)</c:f>
              <c:numCache>
                <c:formatCode>#,##0</c:formatCode>
                <c:ptCount val="4"/>
                <c:pt idx="0">
                  <c:v>1024.2894999999999</c:v>
                </c:pt>
                <c:pt idx="1">
                  <c:v>5457.5010000000002</c:v>
                </c:pt>
                <c:pt idx="2">
                  <c:v>1219.5194000000001</c:v>
                </c:pt>
                <c:pt idx="3">
                  <c:v>488.60339999999997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25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/>
    <c:pageMargins b="0.41" l="0.24" r="0.16" t="0.35" header="0.2" footer="0.2"/>
    <c:pageSetup paperSize="9" orientation="landscape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344348349898883"/>
          <c:y val="3.7313432835820892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25" b="1" i="0" u="none" strike="noStrike" baseline="0">
              <a:solidFill>
                <a:srgbClr val="000000"/>
              </a:solidFill>
              <a:latin typeface="GHEA Grapalat"/>
              <a:ea typeface="GHEA Grapalat"/>
              <a:cs typeface="GHEA Grapalat"/>
            </a:defRPr>
          </a:pPr>
          <a:endParaRPr lang="en-US"/>
        </a:p>
      </c:txPr>
    </c:title>
    <c:autoTitleDeleted val="0"/>
    <c:view3D>
      <c:rotX val="40"/>
      <c:rotY val="19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0491844285997308E-2"/>
          <c:y val="0.14102104365417803"/>
          <c:w val="0.97950822313650088"/>
          <c:h val="0.82821793371546426"/>
        </c:manualLayout>
      </c:layout>
      <c:pie3DChart>
        <c:varyColors val="1"/>
        <c:ser>
          <c:idx val="0"/>
          <c:order val="0"/>
          <c:tx>
            <c:strRef>
              <c:f>'gr6'!$A$10</c:f>
              <c:strCache>
                <c:ptCount val="1"/>
                <c:pt idx="0">
                  <c:v>2019թ.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explosion val="17"/>
            <c:spPr>
              <a:solidFill>
                <a:srgbClr val="8080FF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1"/>
            <c:bubble3D val="0"/>
            <c:spPr>
              <a:solidFill>
                <a:srgbClr val="80206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2"/>
            <c:bubble3D val="0"/>
            <c:explosion val="18"/>
            <c:spPr>
              <a:solidFill>
                <a:srgbClr val="FFFFC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Pt>
            <c:idx val="3"/>
            <c:bubble3D val="0"/>
            <c:spPr>
              <a:solidFill>
                <a:srgbClr val="A0E0E0"/>
              </a:solidFill>
              <a:ln w="12700">
                <a:solidFill>
                  <a:srgbClr val="000000"/>
                </a:solidFill>
                <a:prstDash val="solid"/>
              </a:ln>
            </c:spPr>
          </c:dPt>
          <c:dLbls>
            <c:dLbl>
              <c:idx val="0"/>
              <c:layout>
                <c:manualLayout>
                  <c:x val="9.7994650395849217E-2"/>
                  <c:y val="0.12246296039191565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1.0511649890966904E-2"/>
                  <c:y val="-1.820623177770285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1.6697854787251186E-2"/>
                  <c:y val="2.4416588984311469E-2"/>
                </c:manualLayout>
              </c:layout>
              <c:numFmt formatCode="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75" b="0" i="0" u="none" strike="noStrike" baseline="0">
                      <a:solidFill>
                        <a:srgbClr val="000000"/>
                      </a:solidFill>
                      <a:latin typeface="GHEA Grapalat"/>
                      <a:ea typeface="GHEA Grapalat"/>
                      <a:cs typeface="GHEA Grapalat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numRef>
              <c:f>('gr6'!$B$6,'gr6'!$D$6,'gr6'!$F$6,'gr6'!$H$6)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('gr6'!$B$10,'gr6'!$D$10,'gr6'!$F$10,'gr6'!$H$10)</c:f>
              <c:numCache>
                <c:formatCode>0.0</c:formatCode>
                <c:ptCount val="4"/>
                <c:pt idx="0">
                  <c:v>613.54629999999997</c:v>
                </c:pt>
                <c:pt idx="1">
                  <c:v>1408.6661999999999</c:v>
                </c:pt>
                <c:pt idx="2">
                  <c:v>549.15940000000001</c:v>
                </c:pt>
                <c:pt idx="3">
                  <c:v>65.254400000000004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45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/>
    <c:pageMargins b="0.41" l="0.24" r="0.16" t="0.28999999999999998" header="0.2" footer="0.2"/>
    <c:pageSetup paperSize="9" orientation="landscape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r>
              <a:rPr lang="hy-AM"/>
              <a:t>ՆԵՐՄՈՒԾՈՒՄ</a:t>
            </a:r>
          </a:p>
        </c:rich>
      </c:tx>
      <c:layout>
        <c:manualLayout>
          <c:xMode val="edge"/>
          <c:yMode val="edge"/>
          <c:x val="0.37652863074267301"/>
          <c:y val="1.9607843137254902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7"/>
      <c:rotY val="20"/>
      <c:depthPercent val="2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3202949747561873"/>
          <c:y val="0.10196117479003826"/>
          <c:w val="0.83374182665159235"/>
          <c:h val="0.76470881092528697"/>
        </c:manualLayout>
      </c:layout>
      <c:bar3DChart>
        <c:barDir val="col"/>
        <c:grouping val="clustered"/>
        <c:varyColors val="0"/>
        <c:ser>
          <c:idx val="2"/>
          <c:order val="0"/>
          <c:tx>
            <c:strRef>
              <c:f>'gr6'!$A$9</c:f>
              <c:strCache>
                <c:ptCount val="1"/>
                <c:pt idx="0">
                  <c:v>2018թ.</c:v>
                </c:pt>
              </c:strCache>
            </c:strRef>
          </c:tx>
          <c:spPr>
            <a:solidFill>
              <a:srgbClr val="FFFFC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('gr6'!$B$6,'gr6'!$D$6,'gr6'!$F$6,'gr6'!$H$6)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('gr6'!$C$9,'gr6'!$E$9,'gr6'!$G$9,'gr6'!$I$9)</c:f>
              <c:numCache>
                <c:formatCode>0.0</c:formatCode>
                <c:ptCount val="4"/>
                <c:pt idx="0">
                  <c:v>481.02879999999999</c:v>
                </c:pt>
                <c:pt idx="1">
                  <c:v>3483.6336999999999</c:v>
                </c:pt>
                <c:pt idx="2">
                  <c:v>622.02020000000005</c:v>
                </c:pt>
                <c:pt idx="3">
                  <c:v>379.61869999999999</c:v>
                </c:pt>
              </c:numCache>
            </c:numRef>
          </c:val>
        </c:ser>
        <c:ser>
          <c:idx val="0"/>
          <c:order val="1"/>
          <c:tx>
            <c:strRef>
              <c:f>'gr6'!$A$10</c:f>
              <c:strCache>
                <c:ptCount val="1"/>
                <c:pt idx="0">
                  <c:v>2019թ.</c:v>
                </c:pt>
              </c:strCache>
            </c:strRef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('gr6'!$B$6,'gr6'!$D$6,'gr6'!$F$6,'gr6'!$H$6)</c:f>
              <c:numCache>
                <c:formatCode>General</c:formatCode>
                <c:ptCount val="4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70</c:v>
                </c:pt>
              </c:numCache>
            </c:numRef>
          </c:cat>
          <c:val>
            <c:numRef>
              <c:f>('gr6'!$C$10,'gr6'!$E$10,'gr6'!$G$10,'gr6'!$I$10)</c:f>
              <c:numCache>
                <c:formatCode>0.0</c:formatCode>
                <c:ptCount val="4"/>
                <c:pt idx="0">
                  <c:v>410.7432</c:v>
                </c:pt>
                <c:pt idx="1">
                  <c:v>4048.8348000000001</c:v>
                </c:pt>
                <c:pt idx="2">
                  <c:v>670.36</c:v>
                </c:pt>
                <c:pt idx="3">
                  <c:v>423.34899999999999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0"/>
        <c:shape val="box"/>
        <c:axId val="287520232"/>
        <c:axId val="286047760"/>
        <c:axId val="0"/>
      </c:bar3DChart>
      <c:catAx>
        <c:axId val="287520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GHEA Grapalat"/>
                <a:ea typeface="GHEA Grapalat"/>
                <a:cs typeface="GHEA Grapalat"/>
              </a:defRPr>
            </a:pPr>
            <a:endParaRPr lang="en-US"/>
          </a:p>
        </c:txPr>
        <c:crossAx val="286047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86047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GHEA Grapalat"/>
                    <a:ea typeface="GHEA Grapalat"/>
                    <a:cs typeface="GHEA Grapalat"/>
                  </a:defRPr>
                </a:pPr>
                <a:r>
                  <a:rPr lang="hy-AM"/>
                  <a:t>մլն.դոլար</a:t>
                </a:r>
              </a:p>
            </c:rich>
          </c:tx>
          <c:layout>
            <c:manualLayout>
              <c:xMode val="edge"/>
              <c:yMode val="edge"/>
              <c:x val="8.1720347303775292E-3"/>
              <c:y val="0.4039232154804178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Armenian"/>
                <a:ea typeface="Arial Armenian"/>
                <a:cs typeface="Arial Armenian"/>
              </a:defRPr>
            </a:pPr>
            <a:endParaRPr lang="en-US"/>
          </a:p>
        </c:txPr>
        <c:crossAx val="28752023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6063672358803556"/>
          <c:y val="0.50980598013483602"/>
          <c:w val="0.12713962099480847"/>
          <c:h val="0.1294121764191240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 Armenian"/>
              <a:ea typeface="Arial Armenian"/>
              <a:cs typeface="Arial Armeni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Armenian"/>
          <a:ea typeface="Arial Armenian"/>
          <a:cs typeface="Arial Armenian"/>
        </a:defRPr>
      </a:pPr>
      <a:endParaRPr lang="en-US"/>
    </a:p>
  </c:txPr>
  <c:printSettings>
    <c:headerFooter alignWithMargins="0"/>
    <c:pageMargins b="0.4" l="0.24" r="0.16" t="0.39" header="0.2" footer="0.2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11</xdr:row>
      <xdr:rowOff>95250</xdr:rowOff>
    </xdr:from>
    <xdr:to>
      <xdr:col>7</xdr:col>
      <xdr:colOff>0</xdr:colOff>
      <xdr:row>25</xdr:row>
      <xdr:rowOff>57150</xdr:rowOff>
    </xdr:to>
    <xdr:graphicFrame macro="">
      <xdr:nvGraphicFramePr>
        <xdr:cNvPr id="3699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28575</xdr:colOff>
      <xdr:row>25</xdr:row>
      <xdr:rowOff>95250</xdr:rowOff>
    </xdr:from>
    <xdr:to>
      <xdr:col>7</xdr:col>
      <xdr:colOff>0</xdr:colOff>
      <xdr:row>40</xdr:row>
      <xdr:rowOff>47625</xdr:rowOff>
    </xdr:to>
    <xdr:graphicFrame macro="">
      <xdr:nvGraphicFramePr>
        <xdr:cNvPr id="36998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40</xdr:row>
      <xdr:rowOff>95250</xdr:rowOff>
    </xdr:from>
    <xdr:to>
      <xdr:col>11</xdr:col>
      <xdr:colOff>0</xdr:colOff>
      <xdr:row>54</xdr:row>
      <xdr:rowOff>123825</xdr:rowOff>
    </xdr:to>
    <xdr:graphicFrame macro="">
      <xdr:nvGraphicFramePr>
        <xdr:cNvPr id="3699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11</xdr:row>
      <xdr:rowOff>85725</xdr:rowOff>
    </xdr:from>
    <xdr:to>
      <xdr:col>10</xdr:col>
      <xdr:colOff>552450</xdr:colOff>
      <xdr:row>25</xdr:row>
      <xdr:rowOff>57150</xdr:rowOff>
    </xdr:to>
    <xdr:graphicFrame macro="">
      <xdr:nvGraphicFramePr>
        <xdr:cNvPr id="37000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25</xdr:row>
      <xdr:rowOff>76200</xdr:rowOff>
    </xdr:from>
    <xdr:to>
      <xdr:col>10</xdr:col>
      <xdr:colOff>590550</xdr:colOff>
      <xdr:row>40</xdr:row>
      <xdr:rowOff>57150</xdr:rowOff>
    </xdr:to>
    <xdr:graphicFrame macro="">
      <xdr:nvGraphicFramePr>
        <xdr:cNvPr id="37001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57150</xdr:colOff>
      <xdr:row>40</xdr:row>
      <xdr:rowOff>95250</xdr:rowOff>
    </xdr:from>
    <xdr:to>
      <xdr:col>7</xdr:col>
      <xdr:colOff>0</xdr:colOff>
      <xdr:row>54</xdr:row>
      <xdr:rowOff>123825</xdr:rowOff>
    </xdr:to>
    <xdr:graphicFrame macro="">
      <xdr:nvGraphicFramePr>
        <xdr:cNvPr id="37002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2"/>
  <sheetViews>
    <sheetView tabSelected="1" zoomScale="90" workbookViewId="0">
      <selection activeCell="W26" sqref="W26"/>
    </sheetView>
  </sheetViews>
  <sheetFormatPr defaultRowHeight="12.75" x14ac:dyDescent="0.2"/>
  <cols>
    <col min="1" max="1" width="7" customWidth="1"/>
    <col min="2" max="11" width="8.7109375" customWidth="1"/>
    <col min="12" max="12" width="0.7109375" customWidth="1"/>
    <col min="13" max="13" width="6.28515625" customWidth="1"/>
    <col min="14" max="14" width="5" customWidth="1"/>
    <col min="15" max="15" width="3.85546875" customWidth="1"/>
    <col min="34" max="34" width="0.140625" customWidth="1"/>
  </cols>
  <sheetData>
    <row r="1" spans="1:12" ht="17.25" x14ac:dyDescent="0.3">
      <c r="A1" s="3" t="s">
        <v>11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</row>
    <row r="2" spans="1:12" ht="17.25" x14ac:dyDescent="0.3">
      <c r="A2" s="3" t="s">
        <v>3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</row>
    <row r="3" spans="1:12" ht="14.25" x14ac:dyDescent="0.25">
      <c r="A3" s="7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5"/>
    </row>
    <row r="4" spans="1:12" ht="17.25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5"/>
    </row>
    <row r="5" spans="1:12" ht="14.25" thickBot="1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2" ht="18" thickTop="1" thickBot="1" x14ac:dyDescent="0.35">
      <c r="A6" s="8" t="s">
        <v>4</v>
      </c>
      <c r="B6" s="9">
        <v>20</v>
      </c>
      <c r="C6" s="10"/>
      <c r="D6" s="9">
        <v>30</v>
      </c>
      <c r="E6" s="10"/>
      <c r="F6" s="9">
        <v>40</v>
      </c>
      <c r="G6" s="10"/>
      <c r="H6" s="11">
        <v>70</v>
      </c>
      <c r="I6" s="11"/>
      <c r="J6" s="9" t="s">
        <v>1</v>
      </c>
      <c r="K6" s="10"/>
      <c r="L6" s="5"/>
    </row>
    <row r="7" spans="1:12" ht="15" thickTop="1" thickBot="1" x14ac:dyDescent="0.3">
      <c r="A7" s="12"/>
      <c r="B7" s="13" t="s">
        <v>5</v>
      </c>
      <c r="C7" s="13" t="s">
        <v>6</v>
      </c>
      <c r="D7" s="13" t="s">
        <v>5</v>
      </c>
      <c r="E7" s="13" t="s">
        <v>6</v>
      </c>
      <c r="F7" s="13" t="s">
        <v>5</v>
      </c>
      <c r="G7" s="13" t="s">
        <v>6</v>
      </c>
      <c r="H7" s="13" t="s">
        <v>5</v>
      </c>
      <c r="I7" s="13" t="s">
        <v>6</v>
      </c>
      <c r="J7" s="13" t="s">
        <v>5</v>
      </c>
      <c r="K7" s="13" t="s">
        <v>6</v>
      </c>
      <c r="L7" s="5"/>
    </row>
    <row r="8" spans="1:12" ht="6" customHeight="1" thickTop="1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5"/>
    </row>
    <row r="9" spans="1:12" ht="16.5" x14ac:dyDescent="0.3">
      <c r="A9" s="15" t="s">
        <v>12</v>
      </c>
      <c r="B9" s="20">
        <v>599.34</v>
      </c>
      <c r="C9" s="21">
        <v>481.02879999999999</v>
      </c>
      <c r="D9" s="21">
        <v>1287.0350000000001</v>
      </c>
      <c r="E9" s="21">
        <v>3483.6336999999999</v>
      </c>
      <c r="F9" s="21">
        <v>425.63240000000002</v>
      </c>
      <c r="G9" s="21">
        <v>622.02020000000005</v>
      </c>
      <c r="H9" s="21">
        <v>94.904799999999994</v>
      </c>
      <c r="I9" s="21">
        <v>379.61869999999999</v>
      </c>
      <c r="J9" s="16">
        <f>B9+D9+F9+H9</f>
        <v>2406.9121999999998</v>
      </c>
      <c r="K9" s="16">
        <f>C9+E9+G9+I9</f>
        <v>4966.3014000000003</v>
      </c>
      <c r="L9" s="5"/>
    </row>
    <row r="10" spans="1:12" ht="16.5" x14ac:dyDescent="0.3">
      <c r="A10" s="15" t="s">
        <v>13</v>
      </c>
      <c r="B10" s="20">
        <v>613.54629999999997</v>
      </c>
      <c r="C10" s="21">
        <v>410.7432</v>
      </c>
      <c r="D10" s="21">
        <v>1408.6661999999999</v>
      </c>
      <c r="E10" s="21">
        <v>4048.8348000000001</v>
      </c>
      <c r="F10" s="21">
        <v>549.15940000000001</v>
      </c>
      <c r="G10" s="21">
        <v>670.36</v>
      </c>
      <c r="H10" s="21">
        <v>65.254400000000004</v>
      </c>
      <c r="I10" s="21">
        <v>423.34899999999999</v>
      </c>
      <c r="J10" s="16">
        <f>B10+D10+F10+H10</f>
        <v>2636.6262999999999</v>
      </c>
      <c r="K10" s="16">
        <f>C10+E10+G10+I10</f>
        <v>5553.2870000000003</v>
      </c>
      <c r="L10" s="5"/>
    </row>
    <row r="11" spans="1:12" ht="4.5" customHeight="1" x14ac:dyDescent="0.3">
      <c r="A11" s="17"/>
      <c r="B11" s="18">
        <f>B10+C10</f>
        <v>1024.2894999999999</v>
      </c>
      <c r="C11" s="18"/>
      <c r="D11" s="18">
        <f>D10+E10</f>
        <v>5457.5010000000002</v>
      </c>
      <c r="E11" s="18"/>
      <c r="F11" s="18">
        <f>F10+G10</f>
        <v>1219.5194000000001</v>
      </c>
      <c r="G11" s="18"/>
      <c r="H11" s="18">
        <f>H10+I10</f>
        <v>488.60339999999997</v>
      </c>
      <c r="I11" s="18"/>
      <c r="J11" s="18">
        <f>J10+K10</f>
        <v>8189.9133000000002</v>
      </c>
      <c r="K11" s="18"/>
      <c r="L11" s="5"/>
    </row>
    <row r="12" spans="1:12" ht="13.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 spans="1:12" ht="13.5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 spans="1:12" ht="13.5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 spans="1:12" ht="13.5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 spans="1:12" ht="13.5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1:12" ht="13.5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2" ht="13.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2" ht="13.5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spans="1:12" ht="13.5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 ht="13.5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2" ht="13.5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ht="13.5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</row>
    <row r="24" spans="1:12" ht="13.5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ht="13.5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</row>
    <row r="26" spans="1:12" ht="13.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</row>
    <row r="27" spans="1:12" ht="13.5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</row>
    <row r="28" spans="1:12" ht="13.5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</row>
    <row r="29" spans="1:12" ht="13.5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 spans="1:12" ht="13.5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ht="13.5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ht="13.5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ht="13.5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13.5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13.5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13.5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13.5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13.5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13.5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13.5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13.5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13.5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13.5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13.5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13.5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13.5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ht="13.5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ht="13.5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ht="13.5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ht="13.5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ht="13.5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ht="13.5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ht="13.5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ht="13.5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ht="13.5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ht="17.25" x14ac:dyDescent="0.3">
      <c r="A56" s="19" t="s">
        <v>0</v>
      </c>
      <c r="B56" s="6" t="s">
        <v>7</v>
      </c>
      <c r="C56" s="6"/>
      <c r="D56" s="6"/>
      <c r="E56" s="6"/>
      <c r="F56" s="6" t="s">
        <v>8</v>
      </c>
      <c r="G56" s="6"/>
      <c r="H56" s="6"/>
      <c r="I56" s="5"/>
      <c r="J56" s="5"/>
      <c r="K56" s="5"/>
      <c r="L56" s="5"/>
    </row>
    <row r="57" spans="1:12" ht="14.25" x14ac:dyDescent="0.25">
      <c r="A57" s="5"/>
      <c r="B57" s="6" t="s">
        <v>10</v>
      </c>
      <c r="C57" s="6"/>
      <c r="D57" s="6"/>
      <c r="E57" s="6"/>
      <c r="F57" s="6" t="s">
        <v>9</v>
      </c>
      <c r="G57" s="6"/>
      <c r="H57" s="6"/>
      <c r="I57" s="5"/>
      <c r="J57" s="5"/>
      <c r="K57" s="5"/>
      <c r="L57" s="5"/>
    </row>
    <row r="58" spans="1:12" x14ac:dyDescent="0.2">
      <c r="B58" s="2"/>
      <c r="C58" s="2"/>
      <c r="D58" s="2"/>
      <c r="E58" s="2"/>
      <c r="F58" s="2"/>
      <c r="G58" s="2"/>
      <c r="H58" s="2"/>
    </row>
    <row r="59" spans="1:12" x14ac:dyDescent="0.2">
      <c r="B59" s="2"/>
      <c r="C59" s="2"/>
      <c r="D59" s="2"/>
      <c r="E59" s="2"/>
      <c r="F59" s="2"/>
      <c r="G59" s="2"/>
      <c r="H59" s="2"/>
    </row>
    <row r="60" spans="1:12" x14ac:dyDescent="0.2">
      <c r="B60" s="2"/>
      <c r="C60" s="2"/>
      <c r="D60" s="2"/>
      <c r="E60" s="2"/>
      <c r="F60" s="2"/>
      <c r="G60" s="2"/>
      <c r="H60" s="2"/>
    </row>
    <row r="61" spans="1:12" x14ac:dyDescent="0.2">
      <c r="B61" s="2"/>
      <c r="C61" s="2"/>
      <c r="D61" s="2"/>
      <c r="E61" s="2"/>
      <c r="F61" s="2"/>
      <c r="G61" s="2"/>
      <c r="H61" s="2"/>
    </row>
    <row r="62" spans="1:12" x14ac:dyDescent="0.2">
      <c r="B62" s="2"/>
      <c r="C62" s="2"/>
      <c r="D62" s="2"/>
      <c r="E62" s="2"/>
      <c r="F62" s="2"/>
      <c r="G62" s="2"/>
      <c r="H62" s="2"/>
      <c r="J62" s="1"/>
    </row>
  </sheetData>
  <mergeCells count="1">
    <mergeCell ref="A4:K4"/>
  </mergeCells>
  <phoneticPr fontId="2" type="noConversion"/>
  <pageMargins left="0.64" right="0.2" top="0.37" bottom="0.46" header="0.16" footer="0.2"/>
  <pageSetup paperSize="9" firstPageNumber="2" orientation="portrait" useFirstPageNumber="1" r:id="rId1"/>
  <headerFooter alignWithMargins="0">
    <oddHeader>&amp;R&amp;8&amp;U¶ñ³ýÇÏ 4</oddHeader>
    <oddFooter>&amp;C5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 Movsisjan</dc:creator>
  <cp:lastModifiedBy>Armen Movsesyan S.</cp:lastModifiedBy>
  <cp:lastPrinted>2018-11-13T07:22:18Z</cp:lastPrinted>
  <dcterms:created xsi:type="dcterms:W3CDTF">2001-03-30T11:12:39Z</dcterms:created>
  <dcterms:modified xsi:type="dcterms:W3CDTF">2020-03-02T06:24:40Z</dcterms:modified>
</cp:coreProperties>
</file>